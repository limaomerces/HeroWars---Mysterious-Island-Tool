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Tiago\Desktop\excel HW\"/>
    </mc:Choice>
  </mc:AlternateContent>
  <xr:revisionPtr revIDLastSave="0" documentId="13_ncr:1_{BF5CD144-EDCD-4E9F-A04A-A05630521801}" xr6:coauthVersionLast="47" xr6:coauthVersionMax="47" xr10:uidLastSave="{00000000-0000-0000-0000-000000000000}"/>
  <workbookProtection workbookAlgorithmName="SHA-512" workbookHashValue="uchL6HKPEC7npIO8nbOP6pL01w1lD1TRrcopc9010W1QLOHcCngSOCCSmutbwe7SDxKsMChqrNk5XKzJFWZY7Q==" workbookSaltValue="zN+iqZDz2DHzyxhc0dZVLQ==" workbookSpinCount="100000" lockStructure="1"/>
  <bookViews>
    <workbookView xWindow="-120" yWindow="-120" windowWidth="29040" windowHeight="15840" activeTab="6" xr2:uid="{5CDED70C-7C71-490A-88FA-4782DB143C6A}"/>
  </bookViews>
  <sheets>
    <sheet name="Planilha1" sheetId="1" r:id="rId1"/>
    <sheet name="Planilha3" sheetId="3" r:id="rId2"/>
    <sheet name="Planilha2" sheetId="2" r:id="rId3"/>
    <sheet name="Planilha4" sheetId="4" r:id="rId4"/>
    <sheet name="Planilha5" sheetId="5" r:id="rId5"/>
    <sheet name="Planilha7" sheetId="7" r:id="rId6"/>
    <sheet name="Planilha6" sheetId="6" r:id="rId7"/>
  </sheets>
  <functionGroups builtInGroupCount="19"/>
  <definedNames>
    <definedName name="message__1" localSheetId="0">Planilha1!#REF!</definedName>
    <definedName name="message__1_1" localSheetId="0">Planilha1!$A$1:$F$130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3" i="5" l="1"/>
  <c r="E22" i="5"/>
  <c r="H140" i="1"/>
  <c r="H139" i="1"/>
  <c r="H138" i="1"/>
  <c r="H137" i="1"/>
  <c r="H136" i="1"/>
  <c r="H135" i="1"/>
  <c r="H134" i="1"/>
  <c r="H133" i="1"/>
  <c r="H132" i="1"/>
  <c r="H131" i="1"/>
  <c r="H130" i="1"/>
  <c r="H129" i="1"/>
  <c r="H128" i="1"/>
  <c r="H127" i="1"/>
  <c r="H126" i="1"/>
  <c r="H125" i="1"/>
  <c r="H124" i="1"/>
  <c r="H123" i="1"/>
  <c r="H122" i="1"/>
  <c r="H121" i="1"/>
  <c r="H120" i="1"/>
  <c r="H119" i="1"/>
  <c r="H118" i="1"/>
  <c r="H117" i="1"/>
  <c r="H116" i="1"/>
  <c r="H115" i="1"/>
  <c r="H114" i="1"/>
  <c r="H113" i="1"/>
  <c r="H112" i="1"/>
  <c r="H111" i="1"/>
  <c r="H110" i="1"/>
  <c r="H109" i="1"/>
  <c r="H108" i="1"/>
  <c r="H107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  <c r="H2" i="1"/>
  <c r="G130" i="1"/>
  <c r="G129" i="1"/>
  <c r="G128" i="1"/>
  <c r="G127" i="1"/>
  <c r="G126" i="1"/>
  <c r="G125" i="1"/>
  <c r="G124" i="1"/>
  <c r="G123" i="1"/>
  <c r="G122" i="1"/>
  <c r="G121" i="1"/>
  <c r="G120" i="1"/>
  <c r="G119" i="1"/>
  <c r="G118" i="1"/>
  <c r="G117" i="1"/>
  <c r="G116" i="1"/>
  <c r="G115" i="1"/>
  <c r="G114" i="1"/>
  <c r="G113" i="1"/>
  <c r="G112" i="1"/>
  <c r="G111" i="1"/>
  <c r="G110" i="1"/>
  <c r="G109" i="1"/>
  <c r="G108" i="1"/>
  <c r="G107" i="1"/>
  <c r="G106" i="1"/>
  <c r="G105" i="1"/>
  <c r="G104" i="1"/>
  <c r="G103" i="1"/>
  <c r="G102" i="1"/>
  <c r="G101" i="1"/>
  <c r="G100" i="1"/>
  <c r="G99" i="1"/>
  <c r="G98" i="1"/>
  <c r="G97" i="1"/>
  <c r="G96" i="1"/>
  <c r="G95" i="1"/>
  <c r="G94" i="1"/>
  <c r="G93" i="1"/>
  <c r="G92" i="1"/>
  <c r="G91" i="1"/>
  <c r="G90" i="1"/>
  <c r="G89" i="1"/>
  <c r="G88" i="1"/>
  <c r="G87" i="1"/>
  <c r="G86" i="1"/>
  <c r="G85" i="1"/>
  <c r="G84" i="1"/>
  <c r="G83" i="1"/>
  <c r="G82" i="1"/>
  <c r="G81" i="1"/>
  <c r="G80" i="1"/>
  <c r="G79" i="1"/>
  <c r="G78" i="1"/>
  <c r="G77" i="1"/>
  <c r="G76" i="1"/>
  <c r="G75" i="1"/>
  <c r="G74" i="1"/>
  <c r="G73" i="1"/>
  <c r="G72" i="1"/>
  <c r="G71" i="1"/>
  <c r="G70" i="1"/>
  <c r="G69" i="1"/>
  <c r="G68" i="1"/>
  <c r="G67" i="1"/>
  <c r="G66" i="1"/>
  <c r="G65" i="1"/>
  <c r="G64" i="1"/>
  <c r="G63" i="1"/>
  <c r="G62" i="1"/>
  <c r="G61" i="1"/>
  <c r="G60" i="1"/>
  <c r="G59" i="1"/>
  <c r="G58" i="1"/>
  <c r="G57" i="1"/>
  <c r="G56" i="1"/>
  <c r="G55" i="1"/>
  <c r="G54" i="1"/>
  <c r="G53" i="1"/>
  <c r="G52" i="1"/>
  <c r="G51" i="1"/>
  <c r="G50" i="1"/>
  <c r="G49" i="1"/>
  <c r="G48" i="1"/>
  <c r="G47" i="1"/>
  <c r="G46" i="1"/>
  <c r="G45" i="1"/>
  <c r="G44" i="1"/>
  <c r="G43" i="1"/>
  <c r="G42" i="1"/>
  <c r="G41" i="1"/>
  <c r="G40" i="1"/>
  <c r="G39" i="1"/>
  <c r="G38" i="1"/>
  <c r="G37" i="1"/>
  <c r="G36" i="1"/>
  <c r="G35" i="1"/>
  <c r="G34" i="1"/>
  <c r="G33" i="1"/>
  <c r="G32" i="1"/>
  <c r="G31" i="1"/>
  <c r="G30" i="1"/>
  <c r="G29" i="1"/>
  <c r="G28" i="1"/>
  <c r="G27" i="1"/>
  <c r="G26" i="1"/>
  <c r="G25" i="1"/>
  <c r="G24" i="1"/>
  <c r="G23" i="1"/>
  <c r="G22" i="1"/>
  <c r="G21" i="1"/>
  <c r="G20" i="1"/>
  <c r="G19" i="1"/>
  <c r="G18" i="1"/>
  <c r="G17" i="1"/>
  <c r="G16" i="1"/>
  <c r="G15" i="1"/>
  <c r="G14" i="1"/>
  <c r="G13" i="1"/>
  <c r="G12" i="1"/>
  <c r="G11" i="1"/>
  <c r="G10" i="1"/>
  <c r="G9" i="1"/>
  <c r="G8" i="1"/>
  <c r="G7" i="1"/>
  <c r="G6" i="1"/>
  <c r="G5" i="1"/>
  <c r="G4" i="1"/>
  <c r="G3" i="1"/>
  <c r="G2" i="1"/>
  <c r="E38" i="5"/>
  <c r="E37" i="5"/>
  <c r="E36" i="5"/>
  <c r="E35" i="5"/>
  <c r="E34" i="5"/>
  <c r="E33" i="5"/>
  <c r="E32" i="5"/>
  <c r="E31" i="5"/>
  <c r="E30" i="5"/>
  <c r="E29" i="5"/>
  <c r="E28" i="5"/>
  <c r="E27" i="5"/>
  <c r="E26" i="5"/>
  <c r="E25" i="5"/>
  <c r="E24" i="5"/>
  <c r="E21" i="5"/>
  <c r="E20" i="5"/>
  <c r="E19" i="5"/>
  <c r="E18" i="5"/>
  <c r="E17" i="5"/>
  <c r="E16" i="5"/>
  <c r="E15" i="5"/>
  <c r="E14" i="5"/>
  <c r="E13" i="5"/>
  <c r="E12" i="5"/>
  <c r="E11" i="5"/>
  <c r="E10" i="5"/>
  <c r="E9" i="5"/>
  <c r="E8" i="5"/>
  <c r="E7" i="5"/>
  <c r="E6" i="5"/>
  <c r="E5" i="5"/>
  <c r="E4" i="5"/>
  <c r="E3" i="5"/>
  <c r="E2" i="5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2" i="5"/>
  <c r="B3" i="5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2" i="1"/>
  <c r="C102" i="2"/>
  <c r="C101" i="2"/>
  <c r="C100" i="2"/>
  <c r="B99" i="3" s="1"/>
  <c r="C99" i="3" s="1"/>
  <c r="D99" i="3" s="1"/>
  <c r="C99" i="2"/>
  <c r="C98" i="2"/>
  <c r="C97" i="2"/>
  <c r="C96" i="2"/>
  <c r="C95" i="2"/>
  <c r="B94" i="3" s="1"/>
  <c r="C94" i="3" s="1"/>
  <c r="D94" i="3" s="1"/>
  <c r="C94" i="2"/>
  <c r="C93" i="2"/>
  <c r="C92" i="2"/>
  <c r="C91" i="2"/>
  <c r="C90" i="2"/>
  <c r="C89" i="2"/>
  <c r="C88" i="2"/>
  <c r="C87" i="2"/>
  <c r="B86" i="3" s="1"/>
  <c r="C86" i="3" s="1"/>
  <c r="D86" i="3" s="1"/>
  <c r="F86" i="3" s="1"/>
  <c r="C86" i="2"/>
  <c r="C85" i="2"/>
  <c r="C84" i="2"/>
  <c r="C83" i="2"/>
  <c r="C82" i="2"/>
  <c r="C81" i="2"/>
  <c r="C80" i="2"/>
  <c r="C79" i="2"/>
  <c r="B78" i="3" s="1"/>
  <c r="C78" i="3" s="1"/>
  <c r="D78" i="3" s="1"/>
  <c r="F78" i="3" s="1"/>
  <c r="C78" i="2"/>
  <c r="C77" i="2"/>
  <c r="C76" i="2"/>
  <c r="C75" i="2"/>
  <c r="C74" i="2"/>
  <c r="C73" i="2"/>
  <c r="C72" i="2"/>
  <c r="C71" i="2"/>
  <c r="B70" i="3" s="1"/>
  <c r="C70" i="3" s="1"/>
  <c r="D70" i="3" s="1"/>
  <c r="F70" i="3" s="1"/>
  <c r="C70" i="2"/>
  <c r="C69" i="2"/>
  <c r="C68" i="2"/>
  <c r="C67" i="2"/>
  <c r="C66" i="2"/>
  <c r="C65" i="2"/>
  <c r="C64" i="2"/>
  <c r="C63" i="2"/>
  <c r="B62" i="3" s="1"/>
  <c r="C62" i="3" s="1"/>
  <c r="D62" i="3" s="1"/>
  <c r="E62" i="3" s="1"/>
  <c r="C62" i="2"/>
  <c r="C61" i="2"/>
  <c r="C60" i="2"/>
  <c r="C59" i="2"/>
  <c r="C58" i="2"/>
  <c r="C57" i="2"/>
  <c r="C56" i="2"/>
  <c r="C55" i="2"/>
  <c r="B54" i="3" s="1"/>
  <c r="C54" i="3" s="1"/>
  <c r="D54" i="3" s="1"/>
  <c r="C54" i="2"/>
  <c r="C53" i="2"/>
  <c r="C52" i="2"/>
  <c r="C51" i="2"/>
  <c r="C50" i="2"/>
  <c r="C49" i="2"/>
  <c r="C48" i="2"/>
  <c r="C47" i="2"/>
  <c r="B46" i="3" s="1"/>
  <c r="C46" i="3" s="1"/>
  <c r="D46" i="3" s="1"/>
  <c r="F46" i="3" s="1"/>
  <c r="C46" i="2"/>
  <c r="C45" i="2"/>
  <c r="C44" i="2"/>
  <c r="C43" i="2"/>
  <c r="C42" i="2"/>
  <c r="C41" i="2"/>
  <c r="C40" i="2"/>
  <c r="C39" i="2"/>
  <c r="B38" i="3" s="1"/>
  <c r="C38" i="3" s="1"/>
  <c r="D38" i="3" s="1"/>
  <c r="F38" i="3" s="1"/>
  <c r="C38" i="2"/>
  <c r="C37" i="2"/>
  <c r="C36" i="2"/>
  <c r="C35" i="2"/>
  <c r="C34" i="2"/>
  <c r="C33" i="2"/>
  <c r="C32" i="2"/>
  <c r="C31" i="2"/>
  <c r="B30" i="3" s="1"/>
  <c r="C30" i="3" s="1"/>
  <c r="D30" i="3" s="1"/>
  <c r="E30" i="3" s="1"/>
  <c r="C30" i="2"/>
  <c r="C29" i="2"/>
  <c r="C28" i="2"/>
  <c r="C27" i="2"/>
  <c r="C26" i="2"/>
  <c r="C25" i="2"/>
  <c r="C24" i="2"/>
  <c r="C23" i="2"/>
  <c r="B22" i="3" s="1"/>
  <c r="C22" i="3" s="1"/>
  <c r="D22" i="3" s="1"/>
  <c r="E22" i="3" s="1"/>
  <c r="C22" i="2"/>
  <c r="C21" i="2"/>
  <c r="C20" i="2"/>
  <c r="C19" i="2"/>
  <c r="C18" i="2"/>
  <c r="C17" i="2"/>
  <c r="C16" i="2"/>
  <c r="C15" i="2"/>
  <c r="B14" i="3" s="1"/>
  <c r="C14" i="3" s="1"/>
  <c r="D14" i="3" s="1"/>
  <c r="C14" i="2"/>
  <c r="C13" i="2"/>
  <c r="C12" i="2"/>
  <c r="C11" i="2"/>
  <c r="C10" i="2"/>
  <c r="C9" i="2"/>
  <c r="C8" i="2"/>
  <c r="C7" i="2"/>
  <c r="B6" i="3" s="1"/>
  <c r="C6" i="3" s="1"/>
  <c r="D6" i="3" s="1"/>
  <c r="C6" i="2"/>
  <c r="C5" i="2"/>
  <c r="C4" i="2"/>
  <c r="C3" i="2"/>
  <c r="C151" i="3"/>
  <c r="D151" i="3" s="1"/>
  <c r="B151" i="3"/>
  <c r="D150" i="3"/>
  <c r="H150" i="3" s="1"/>
  <c r="C150" i="3"/>
  <c r="B150" i="3"/>
  <c r="C149" i="3"/>
  <c r="D149" i="3" s="1"/>
  <c r="B149" i="3"/>
  <c r="C148" i="3"/>
  <c r="D148" i="3" s="1"/>
  <c r="B148" i="3"/>
  <c r="C147" i="3"/>
  <c r="D147" i="3" s="1"/>
  <c r="B147" i="3"/>
  <c r="C146" i="3"/>
  <c r="D146" i="3" s="1"/>
  <c r="B146" i="3"/>
  <c r="C145" i="3"/>
  <c r="D145" i="3" s="1"/>
  <c r="B145" i="3"/>
  <c r="C144" i="3"/>
  <c r="D144" i="3" s="1"/>
  <c r="B144" i="3"/>
  <c r="C143" i="3"/>
  <c r="D143" i="3" s="1"/>
  <c r="B143" i="3"/>
  <c r="D142" i="3"/>
  <c r="H142" i="3" s="1"/>
  <c r="C142" i="3"/>
  <c r="B142" i="3"/>
  <c r="C141" i="3"/>
  <c r="D141" i="3" s="1"/>
  <c r="B141" i="3"/>
  <c r="D140" i="3"/>
  <c r="H140" i="3" s="1"/>
  <c r="C140" i="3"/>
  <c r="B140" i="3"/>
  <c r="C139" i="3"/>
  <c r="D139" i="3" s="1"/>
  <c r="B139" i="3"/>
  <c r="C138" i="3"/>
  <c r="D138" i="3" s="1"/>
  <c r="B138" i="3"/>
  <c r="G137" i="3"/>
  <c r="D137" i="3"/>
  <c r="F137" i="3" s="1"/>
  <c r="C137" i="3"/>
  <c r="B137" i="3"/>
  <c r="C136" i="3"/>
  <c r="D136" i="3" s="1"/>
  <c r="B136" i="3"/>
  <c r="D135" i="3"/>
  <c r="E135" i="3" s="1"/>
  <c r="C135" i="3"/>
  <c r="B135" i="3"/>
  <c r="C134" i="3"/>
  <c r="D134" i="3" s="1"/>
  <c r="B134" i="3"/>
  <c r="C133" i="3"/>
  <c r="D133" i="3" s="1"/>
  <c r="B133" i="3"/>
  <c r="D132" i="3"/>
  <c r="H132" i="3" s="1"/>
  <c r="C132" i="3"/>
  <c r="B132" i="3"/>
  <c r="C131" i="3"/>
  <c r="D131" i="3" s="1"/>
  <c r="B131" i="3"/>
  <c r="C130" i="3"/>
  <c r="D130" i="3" s="1"/>
  <c r="B130" i="3"/>
  <c r="G129" i="3"/>
  <c r="F129" i="3"/>
  <c r="D129" i="3"/>
  <c r="E129" i="3" s="1"/>
  <c r="C129" i="3"/>
  <c r="B129" i="3"/>
  <c r="C128" i="3"/>
  <c r="D128" i="3" s="1"/>
  <c r="B128" i="3"/>
  <c r="D127" i="3"/>
  <c r="H127" i="3" s="1"/>
  <c r="C127" i="3"/>
  <c r="B127" i="3"/>
  <c r="C126" i="3"/>
  <c r="D126" i="3" s="1"/>
  <c r="B126" i="3"/>
  <c r="C125" i="3"/>
  <c r="D125" i="3" s="1"/>
  <c r="B125" i="3"/>
  <c r="D124" i="3"/>
  <c r="H124" i="3" s="1"/>
  <c r="C124" i="3"/>
  <c r="B124" i="3"/>
  <c r="C123" i="3"/>
  <c r="D123" i="3" s="1"/>
  <c r="B123" i="3"/>
  <c r="C122" i="3"/>
  <c r="D122" i="3" s="1"/>
  <c r="B122" i="3"/>
  <c r="G121" i="3"/>
  <c r="F121" i="3"/>
  <c r="D121" i="3"/>
  <c r="E121" i="3" s="1"/>
  <c r="C121" i="3"/>
  <c r="B121" i="3"/>
  <c r="C120" i="3"/>
  <c r="D120" i="3" s="1"/>
  <c r="B120" i="3"/>
  <c r="D119" i="3"/>
  <c r="E119" i="3" s="1"/>
  <c r="C119" i="3"/>
  <c r="B119" i="3"/>
  <c r="C118" i="3"/>
  <c r="D118" i="3" s="1"/>
  <c r="B118" i="3"/>
  <c r="C117" i="3"/>
  <c r="D117" i="3" s="1"/>
  <c r="B117" i="3"/>
  <c r="D116" i="3"/>
  <c r="H116" i="3" s="1"/>
  <c r="C116" i="3"/>
  <c r="B116" i="3"/>
  <c r="C115" i="3"/>
  <c r="D115" i="3" s="1"/>
  <c r="B115" i="3"/>
  <c r="C114" i="3"/>
  <c r="D114" i="3" s="1"/>
  <c r="B114" i="3"/>
  <c r="G113" i="3"/>
  <c r="F113" i="3"/>
  <c r="D113" i="3"/>
  <c r="E113" i="3" s="1"/>
  <c r="C113" i="3"/>
  <c r="B113" i="3"/>
  <c r="C112" i="3"/>
  <c r="D112" i="3" s="1"/>
  <c r="B112" i="3"/>
  <c r="D111" i="3"/>
  <c r="H111" i="3" s="1"/>
  <c r="C111" i="3"/>
  <c r="B111" i="3"/>
  <c r="C110" i="3"/>
  <c r="D110" i="3" s="1"/>
  <c r="B110" i="3"/>
  <c r="C109" i="3"/>
  <c r="D109" i="3" s="1"/>
  <c r="B109" i="3"/>
  <c r="D108" i="3"/>
  <c r="H108" i="3" s="1"/>
  <c r="C108" i="3"/>
  <c r="B108" i="3"/>
  <c r="C107" i="3"/>
  <c r="D107" i="3" s="1"/>
  <c r="B107" i="3"/>
  <c r="C106" i="3"/>
  <c r="D106" i="3" s="1"/>
  <c r="B106" i="3"/>
  <c r="G105" i="3"/>
  <c r="F105" i="3"/>
  <c r="D105" i="3"/>
  <c r="E105" i="3" s="1"/>
  <c r="C105" i="3"/>
  <c r="B105" i="3"/>
  <c r="C104" i="3"/>
  <c r="D104" i="3" s="1"/>
  <c r="B104" i="3"/>
  <c r="D103" i="3"/>
  <c r="E103" i="3" s="1"/>
  <c r="C103" i="3"/>
  <c r="B103" i="3"/>
  <c r="C102" i="3"/>
  <c r="D102" i="3" s="1"/>
  <c r="B102" i="3"/>
  <c r="B101" i="3"/>
  <c r="C101" i="3" s="1"/>
  <c r="D101" i="3" s="1"/>
  <c r="B100" i="3"/>
  <c r="C100" i="3" s="1"/>
  <c r="D100" i="3" s="1"/>
  <c r="B98" i="3"/>
  <c r="C98" i="3" s="1"/>
  <c r="D98" i="3" s="1"/>
  <c r="B97" i="3"/>
  <c r="C97" i="3" s="1"/>
  <c r="D97" i="3" s="1"/>
  <c r="B96" i="3"/>
  <c r="C96" i="3" s="1"/>
  <c r="D96" i="3" s="1"/>
  <c r="B95" i="3"/>
  <c r="C95" i="3" s="1"/>
  <c r="D95" i="3" s="1"/>
  <c r="B93" i="3"/>
  <c r="C93" i="3" s="1"/>
  <c r="D93" i="3" s="1"/>
  <c r="B92" i="3"/>
  <c r="C92" i="3" s="1"/>
  <c r="D92" i="3" s="1"/>
  <c r="H92" i="3" s="1"/>
  <c r="B91" i="3"/>
  <c r="C91" i="3" s="1"/>
  <c r="D91" i="3" s="1"/>
  <c r="B90" i="3"/>
  <c r="C90" i="3" s="1"/>
  <c r="D90" i="3" s="1"/>
  <c r="B89" i="3"/>
  <c r="C89" i="3" s="1"/>
  <c r="D89" i="3" s="1"/>
  <c r="B88" i="3"/>
  <c r="C88" i="3" s="1"/>
  <c r="D88" i="3" s="1"/>
  <c r="H88" i="3" s="1"/>
  <c r="B87" i="3"/>
  <c r="C87" i="3" s="1"/>
  <c r="D87" i="3" s="1"/>
  <c r="B85" i="3"/>
  <c r="C85" i="3" s="1"/>
  <c r="D85" i="3" s="1"/>
  <c r="B84" i="3"/>
  <c r="C84" i="3" s="1"/>
  <c r="D84" i="3" s="1"/>
  <c r="B83" i="3"/>
  <c r="C83" i="3" s="1"/>
  <c r="D83" i="3" s="1"/>
  <c r="B82" i="3"/>
  <c r="C82" i="3" s="1"/>
  <c r="D82" i="3" s="1"/>
  <c r="B81" i="3"/>
  <c r="C81" i="3" s="1"/>
  <c r="D81" i="3" s="1"/>
  <c r="B80" i="3"/>
  <c r="C80" i="3" s="1"/>
  <c r="D80" i="3" s="1"/>
  <c r="H80" i="3" s="1"/>
  <c r="B79" i="3"/>
  <c r="C79" i="3" s="1"/>
  <c r="D79" i="3" s="1"/>
  <c r="B77" i="3"/>
  <c r="C77" i="3" s="1"/>
  <c r="D77" i="3" s="1"/>
  <c r="B76" i="3"/>
  <c r="C76" i="3" s="1"/>
  <c r="D76" i="3" s="1"/>
  <c r="B75" i="3"/>
  <c r="C75" i="3" s="1"/>
  <c r="D75" i="3" s="1"/>
  <c r="G75" i="3" s="1"/>
  <c r="B74" i="3"/>
  <c r="C74" i="3" s="1"/>
  <c r="D74" i="3" s="1"/>
  <c r="F74" i="3" s="1"/>
  <c r="B73" i="3"/>
  <c r="C73" i="3" s="1"/>
  <c r="D73" i="3" s="1"/>
  <c r="H73" i="3" s="1"/>
  <c r="B72" i="3"/>
  <c r="C72" i="3" s="1"/>
  <c r="D72" i="3" s="1"/>
  <c r="B71" i="3"/>
  <c r="C71" i="3" s="1"/>
  <c r="D71" i="3" s="1"/>
  <c r="B69" i="3"/>
  <c r="C69" i="3" s="1"/>
  <c r="D69" i="3" s="1"/>
  <c r="E69" i="3" s="1"/>
  <c r="B68" i="3"/>
  <c r="C68" i="3" s="1"/>
  <c r="D68" i="3" s="1"/>
  <c r="B67" i="3"/>
  <c r="C67" i="3" s="1"/>
  <c r="D67" i="3" s="1"/>
  <c r="B66" i="3"/>
  <c r="C66" i="3" s="1"/>
  <c r="D66" i="3" s="1"/>
  <c r="B65" i="3"/>
  <c r="C65" i="3" s="1"/>
  <c r="D65" i="3" s="1"/>
  <c r="E65" i="3" s="1"/>
  <c r="B64" i="3"/>
  <c r="C64" i="3" s="1"/>
  <c r="D64" i="3" s="1"/>
  <c r="G64" i="3" s="1"/>
  <c r="B63" i="3"/>
  <c r="C63" i="3" s="1"/>
  <c r="D63" i="3" s="1"/>
  <c r="G63" i="3" s="1"/>
  <c r="B61" i="3"/>
  <c r="C61" i="3" s="1"/>
  <c r="D61" i="3" s="1"/>
  <c r="B60" i="3"/>
  <c r="C60" i="3" s="1"/>
  <c r="D60" i="3" s="1"/>
  <c r="B59" i="3"/>
  <c r="C59" i="3" s="1"/>
  <c r="D59" i="3" s="1"/>
  <c r="B58" i="3"/>
  <c r="C58" i="3" s="1"/>
  <c r="D58" i="3" s="1"/>
  <c r="B57" i="3"/>
  <c r="C57" i="3" s="1"/>
  <c r="D57" i="3" s="1"/>
  <c r="B56" i="3"/>
  <c r="C56" i="3" s="1"/>
  <c r="D56" i="3" s="1"/>
  <c r="G56" i="3" s="1"/>
  <c r="B55" i="3"/>
  <c r="C55" i="3" s="1"/>
  <c r="D55" i="3" s="1"/>
  <c r="G55" i="3" s="1"/>
  <c r="B53" i="3"/>
  <c r="C53" i="3" s="1"/>
  <c r="D53" i="3" s="1"/>
  <c r="B52" i="3"/>
  <c r="C52" i="3" s="1"/>
  <c r="D52" i="3" s="1"/>
  <c r="B51" i="3"/>
  <c r="C51" i="3" s="1"/>
  <c r="D51" i="3" s="1"/>
  <c r="B50" i="3"/>
  <c r="C50" i="3" s="1"/>
  <c r="D50" i="3" s="1"/>
  <c r="B49" i="3"/>
  <c r="C49" i="3" s="1"/>
  <c r="D49" i="3" s="1"/>
  <c r="H49" i="3" s="1"/>
  <c r="B48" i="3"/>
  <c r="C48" i="3" s="1"/>
  <c r="D48" i="3" s="1"/>
  <c r="H48" i="3" s="1"/>
  <c r="B47" i="3"/>
  <c r="C47" i="3" s="1"/>
  <c r="D47" i="3" s="1"/>
  <c r="F47" i="3" s="1"/>
  <c r="B45" i="3"/>
  <c r="C45" i="3" s="1"/>
  <c r="D45" i="3" s="1"/>
  <c r="B44" i="3"/>
  <c r="C44" i="3" s="1"/>
  <c r="D44" i="3" s="1"/>
  <c r="B43" i="3"/>
  <c r="C43" i="3" s="1"/>
  <c r="D43" i="3" s="1"/>
  <c r="B42" i="3"/>
  <c r="C42" i="3" s="1"/>
  <c r="D42" i="3" s="1"/>
  <c r="F42" i="3" s="1"/>
  <c r="B41" i="3"/>
  <c r="C41" i="3" s="1"/>
  <c r="D41" i="3" s="1"/>
  <c r="H41" i="3" s="1"/>
  <c r="B40" i="3"/>
  <c r="C40" i="3" s="1"/>
  <c r="D40" i="3" s="1"/>
  <c r="B39" i="3"/>
  <c r="C39" i="3" s="1"/>
  <c r="D39" i="3" s="1"/>
  <c r="G39" i="3" s="1"/>
  <c r="B37" i="3"/>
  <c r="C37" i="3" s="1"/>
  <c r="D37" i="3" s="1"/>
  <c r="E37" i="3" s="1"/>
  <c r="B36" i="3"/>
  <c r="C36" i="3" s="1"/>
  <c r="D36" i="3" s="1"/>
  <c r="B35" i="3"/>
  <c r="C35" i="3" s="1"/>
  <c r="D35" i="3" s="1"/>
  <c r="B34" i="3"/>
  <c r="C34" i="3" s="1"/>
  <c r="D34" i="3" s="1"/>
  <c r="B33" i="3"/>
  <c r="C33" i="3" s="1"/>
  <c r="D33" i="3" s="1"/>
  <c r="E33" i="3" s="1"/>
  <c r="B32" i="3"/>
  <c r="C32" i="3" s="1"/>
  <c r="D32" i="3" s="1"/>
  <c r="G32" i="3" s="1"/>
  <c r="B31" i="3"/>
  <c r="C31" i="3" s="1"/>
  <c r="D31" i="3" s="1"/>
  <c r="G31" i="3" s="1"/>
  <c r="B29" i="3"/>
  <c r="C29" i="3" s="1"/>
  <c r="D29" i="3" s="1"/>
  <c r="E29" i="3" s="1"/>
  <c r="B28" i="3"/>
  <c r="C28" i="3" s="1"/>
  <c r="D28" i="3" s="1"/>
  <c r="B27" i="3"/>
  <c r="C27" i="3" s="1"/>
  <c r="D27" i="3" s="1"/>
  <c r="B26" i="3"/>
  <c r="C26" i="3" s="1"/>
  <c r="D26" i="3" s="1"/>
  <c r="B25" i="3"/>
  <c r="C25" i="3" s="1"/>
  <c r="D25" i="3" s="1"/>
  <c r="E25" i="3" s="1"/>
  <c r="B24" i="3"/>
  <c r="C24" i="3" s="1"/>
  <c r="D24" i="3" s="1"/>
  <c r="H24" i="3" s="1"/>
  <c r="B23" i="3"/>
  <c r="C23" i="3" s="1"/>
  <c r="D23" i="3" s="1"/>
  <c r="G23" i="3" s="1"/>
  <c r="B21" i="3"/>
  <c r="C21" i="3" s="1"/>
  <c r="D21" i="3" s="1"/>
  <c r="B20" i="3"/>
  <c r="C20" i="3" s="1"/>
  <c r="D20" i="3" s="1"/>
  <c r="B19" i="3"/>
  <c r="C19" i="3" s="1"/>
  <c r="D19" i="3" s="1"/>
  <c r="B18" i="3"/>
  <c r="C18" i="3" s="1"/>
  <c r="D18" i="3" s="1"/>
  <c r="B17" i="3"/>
  <c r="C17" i="3" s="1"/>
  <c r="D17" i="3" s="1"/>
  <c r="B16" i="3"/>
  <c r="C16" i="3" s="1"/>
  <c r="D16" i="3" s="1"/>
  <c r="B15" i="3"/>
  <c r="C15" i="3" s="1"/>
  <c r="D15" i="3" s="1"/>
  <c r="B13" i="3"/>
  <c r="C13" i="3" s="1"/>
  <c r="D13" i="3" s="1"/>
  <c r="E13" i="3" s="1"/>
  <c r="B12" i="3"/>
  <c r="C12" i="3" s="1"/>
  <c r="D12" i="3" s="1"/>
  <c r="B11" i="3"/>
  <c r="C11" i="3" s="1"/>
  <c r="D11" i="3" s="1"/>
  <c r="G11" i="3" s="1"/>
  <c r="B10" i="3"/>
  <c r="C10" i="3" s="1"/>
  <c r="D10" i="3" s="1"/>
  <c r="G10" i="3" s="1"/>
  <c r="B9" i="3"/>
  <c r="C9" i="3" s="1"/>
  <c r="D9" i="3" s="1"/>
  <c r="G9" i="3" s="1"/>
  <c r="B8" i="3"/>
  <c r="C8" i="3" s="1"/>
  <c r="D8" i="3" s="1"/>
  <c r="B7" i="3"/>
  <c r="C7" i="3" s="1"/>
  <c r="D7" i="3" s="1"/>
  <c r="B5" i="3"/>
  <c r="C5" i="3" s="1"/>
  <c r="D5" i="3" s="1"/>
  <c r="B4" i="3"/>
  <c r="C4" i="3" s="1"/>
  <c r="D4" i="3" s="1"/>
  <c r="B3" i="3"/>
  <c r="C3" i="3" s="1"/>
  <c r="D3" i="3" s="1"/>
  <c r="B2" i="3"/>
  <c r="C2" i="3" s="1"/>
  <c r="D2" i="3" s="1"/>
  <c r="F2" i="3" s="1"/>
  <c r="F38" i="4" l="1"/>
  <c r="H38" i="4" s="1"/>
  <c r="F37" i="4"/>
  <c r="H37" i="4" s="1"/>
  <c r="F36" i="4"/>
  <c r="H36" i="4" s="1"/>
  <c r="F22" i="4"/>
  <c r="H22" i="4" s="1"/>
  <c r="F26" i="4"/>
  <c r="H26" i="4" s="1"/>
  <c r="F6" i="4"/>
  <c r="H6" i="4" s="1"/>
  <c r="F2" i="4"/>
  <c r="H2" i="4" s="1"/>
  <c r="F3" i="4"/>
  <c r="H3" i="4" s="1"/>
  <c r="F10" i="4"/>
  <c r="H10" i="4" s="1"/>
  <c r="F14" i="4"/>
  <c r="H14" i="4" s="1"/>
  <c r="F18" i="4"/>
  <c r="H18" i="4" s="1"/>
  <c r="F5" i="4"/>
  <c r="H5" i="4" s="1"/>
  <c r="F13" i="4"/>
  <c r="H13" i="4" s="1"/>
  <c r="F21" i="4"/>
  <c r="H21" i="4" s="1"/>
  <c r="F29" i="4"/>
  <c r="H29" i="4" s="1"/>
  <c r="F30" i="4"/>
  <c r="H30" i="4" s="1"/>
  <c r="F7" i="4"/>
  <c r="H7" i="4" s="1"/>
  <c r="F15" i="4"/>
  <c r="H15" i="4" s="1"/>
  <c r="F23" i="4"/>
  <c r="H23" i="4" s="1"/>
  <c r="F31" i="4"/>
  <c r="H31" i="4" s="1"/>
  <c r="F8" i="4"/>
  <c r="H8" i="4" s="1"/>
  <c r="F16" i="4"/>
  <c r="H16" i="4" s="1"/>
  <c r="F24" i="4"/>
  <c r="H24" i="4" s="1"/>
  <c r="F32" i="4"/>
  <c r="H32" i="4" s="1"/>
  <c r="F9" i="4"/>
  <c r="H9" i="4" s="1"/>
  <c r="F17" i="4"/>
  <c r="H17" i="4" s="1"/>
  <c r="F25" i="4"/>
  <c r="H25" i="4" s="1"/>
  <c r="F33" i="4"/>
  <c r="H33" i="4" s="1"/>
  <c r="F34" i="4"/>
  <c r="H34" i="4" s="1"/>
  <c r="F11" i="4"/>
  <c r="H11" i="4" s="1"/>
  <c r="F19" i="4"/>
  <c r="H19" i="4" s="1"/>
  <c r="F27" i="4"/>
  <c r="H27" i="4" s="1"/>
  <c r="F35" i="4"/>
  <c r="H35" i="4" s="1"/>
  <c r="F4" i="4"/>
  <c r="H4" i="4" s="1"/>
  <c r="F12" i="4"/>
  <c r="H12" i="4" s="1"/>
  <c r="F20" i="4"/>
  <c r="H20" i="4" s="1"/>
  <c r="F28" i="4"/>
  <c r="H28" i="4" s="1"/>
  <c r="H109" i="3"/>
  <c r="G109" i="3"/>
  <c r="F109" i="3"/>
  <c r="E109" i="3"/>
  <c r="H115" i="3"/>
  <c r="G115" i="3"/>
  <c r="F115" i="3"/>
  <c r="E115" i="3"/>
  <c r="F130" i="3"/>
  <c r="E130" i="3"/>
  <c r="G130" i="3"/>
  <c r="H130" i="3"/>
  <c r="E143" i="3"/>
  <c r="H143" i="3"/>
  <c r="G143" i="3"/>
  <c r="F143" i="3"/>
  <c r="H147" i="3"/>
  <c r="G147" i="3"/>
  <c r="F147" i="3"/>
  <c r="E147" i="3"/>
  <c r="G106" i="3"/>
  <c r="F106" i="3"/>
  <c r="E106" i="3"/>
  <c r="H106" i="3"/>
  <c r="E128" i="3"/>
  <c r="H128" i="3"/>
  <c r="G128" i="3"/>
  <c r="F128" i="3"/>
  <c r="H134" i="3"/>
  <c r="G134" i="3"/>
  <c r="F134" i="3"/>
  <c r="E134" i="3"/>
  <c r="H151" i="3"/>
  <c r="G151" i="3"/>
  <c r="F151" i="3"/>
  <c r="E151" i="3"/>
  <c r="E112" i="3"/>
  <c r="H112" i="3"/>
  <c r="F112" i="3"/>
  <c r="G112" i="3"/>
  <c r="E104" i="3"/>
  <c r="F104" i="3"/>
  <c r="H104" i="3"/>
  <c r="G104" i="3"/>
  <c r="H110" i="3"/>
  <c r="G110" i="3"/>
  <c r="F110" i="3"/>
  <c r="E110" i="3"/>
  <c r="H125" i="3"/>
  <c r="G125" i="3"/>
  <c r="F125" i="3"/>
  <c r="E125" i="3"/>
  <c r="G131" i="3"/>
  <c r="F131" i="3"/>
  <c r="E131" i="3"/>
  <c r="H131" i="3"/>
  <c r="E144" i="3"/>
  <c r="H144" i="3"/>
  <c r="G144" i="3"/>
  <c r="F144" i="3"/>
  <c r="H148" i="3"/>
  <c r="G148" i="3"/>
  <c r="F148" i="3"/>
  <c r="E148" i="3"/>
  <c r="G107" i="3"/>
  <c r="F107" i="3"/>
  <c r="H107" i="3"/>
  <c r="E107" i="3"/>
  <c r="F122" i="3"/>
  <c r="E122" i="3"/>
  <c r="G122" i="3"/>
  <c r="H122" i="3"/>
  <c r="H141" i="3"/>
  <c r="G141" i="3"/>
  <c r="F141" i="3"/>
  <c r="E141" i="3"/>
  <c r="H133" i="3"/>
  <c r="G133" i="3"/>
  <c r="F133" i="3"/>
  <c r="E133" i="3"/>
  <c r="F120" i="3"/>
  <c r="E120" i="3"/>
  <c r="H120" i="3"/>
  <c r="G120" i="3"/>
  <c r="H126" i="3"/>
  <c r="G126" i="3"/>
  <c r="F126" i="3"/>
  <c r="E126" i="3"/>
  <c r="H138" i="3"/>
  <c r="G138" i="3"/>
  <c r="F138" i="3"/>
  <c r="E138" i="3"/>
  <c r="F145" i="3"/>
  <c r="E145" i="3"/>
  <c r="H145" i="3"/>
  <c r="G145" i="3"/>
  <c r="H149" i="3"/>
  <c r="G149" i="3"/>
  <c r="F149" i="3"/>
  <c r="E149" i="3"/>
  <c r="H102" i="3"/>
  <c r="G102" i="3"/>
  <c r="F102" i="3"/>
  <c r="E102" i="3"/>
  <c r="H117" i="3"/>
  <c r="G117" i="3"/>
  <c r="F117" i="3"/>
  <c r="E117" i="3"/>
  <c r="H123" i="3"/>
  <c r="G123" i="3"/>
  <c r="F123" i="3"/>
  <c r="E123" i="3"/>
  <c r="H118" i="3"/>
  <c r="G118" i="3"/>
  <c r="F118" i="3"/>
  <c r="E118" i="3"/>
  <c r="F114" i="3"/>
  <c r="G114" i="3"/>
  <c r="E114" i="3"/>
  <c r="H114" i="3"/>
  <c r="E136" i="3"/>
  <c r="F136" i="3"/>
  <c r="H136" i="3"/>
  <c r="G136" i="3"/>
  <c r="H139" i="3"/>
  <c r="G139" i="3"/>
  <c r="F139" i="3"/>
  <c r="E139" i="3"/>
  <c r="G146" i="3"/>
  <c r="F146" i="3"/>
  <c r="E146" i="3"/>
  <c r="H146" i="3"/>
  <c r="E111" i="3"/>
  <c r="F103" i="3"/>
  <c r="H105" i="3"/>
  <c r="F111" i="3"/>
  <c r="H113" i="3"/>
  <c r="F119" i="3"/>
  <c r="H121" i="3"/>
  <c r="F127" i="3"/>
  <c r="H129" i="3"/>
  <c r="F135" i="3"/>
  <c r="H137" i="3"/>
  <c r="E142" i="3"/>
  <c r="E150" i="3"/>
  <c r="E127" i="3"/>
  <c r="G103" i="3"/>
  <c r="G111" i="3"/>
  <c r="G119" i="3"/>
  <c r="G127" i="3"/>
  <c r="G135" i="3"/>
  <c r="F142" i="3"/>
  <c r="F150" i="3"/>
  <c r="H103" i="3"/>
  <c r="E108" i="3"/>
  <c r="E116" i="3"/>
  <c r="H119" i="3"/>
  <c r="E124" i="3"/>
  <c r="E132" i="3"/>
  <c r="H135" i="3"/>
  <c r="E140" i="3"/>
  <c r="G142" i="3"/>
  <c r="G150" i="3"/>
  <c r="F108" i="3"/>
  <c r="F116" i="3"/>
  <c r="F124" i="3"/>
  <c r="F132" i="3"/>
  <c r="F140" i="3"/>
  <c r="G108" i="3"/>
  <c r="G116" i="3"/>
  <c r="G124" i="3"/>
  <c r="G132" i="3"/>
  <c r="G140" i="3"/>
  <c r="E137" i="3"/>
  <c r="E41" i="3"/>
  <c r="E49" i="3"/>
  <c r="G15" i="3"/>
  <c r="F15" i="3"/>
  <c r="E17" i="3"/>
  <c r="H17" i="3"/>
  <c r="E9" i="3"/>
  <c r="E73" i="3"/>
  <c r="G28" i="3"/>
  <c r="F28" i="3"/>
  <c r="E28" i="3"/>
  <c r="H28" i="3"/>
  <c r="H5" i="3"/>
  <c r="G5" i="3"/>
  <c r="F5" i="3"/>
  <c r="E5" i="3"/>
  <c r="F16" i="3"/>
  <c r="E16" i="3"/>
  <c r="H16" i="3"/>
  <c r="G16" i="3"/>
  <c r="H6" i="3"/>
  <c r="G6" i="3"/>
  <c r="F6" i="3"/>
  <c r="E6" i="3"/>
  <c r="H59" i="3"/>
  <c r="F59" i="3"/>
  <c r="E59" i="3"/>
  <c r="G59" i="3"/>
  <c r="E7" i="3"/>
  <c r="H7" i="3"/>
  <c r="G7" i="3"/>
  <c r="F7" i="3"/>
  <c r="H43" i="3"/>
  <c r="F43" i="3"/>
  <c r="E43" i="3"/>
  <c r="G43" i="3"/>
  <c r="H51" i="3"/>
  <c r="F51" i="3"/>
  <c r="E51" i="3"/>
  <c r="G51" i="3"/>
  <c r="G60" i="3"/>
  <c r="F60" i="3"/>
  <c r="E60" i="3"/>
  <c r="H60" i="3"/>
  <c r="H14" i="3"/>
  <c r="G14" i="3"/>
  <c r="F14" i="3"/>
  <c r="E14" i="3"/>
  <c r="H27" i="3"/>
  <c r="F27" i="3"/>
  <c r="E27" i="3"/>
  <c r="G27" i="3"/>
  <c r="F3" i="3"/>
  <c r="E3" i="3"/>
  <c r="H3" i="3"/>
  <c r="G3" i="3"/>
  <c r="F8" i="3"/>
  <c r="G8" i="3"/>
  <c r="E8" i="3"/>
  <c r="H8" i="3"/>
  <c r="G68" i="3"/>
  <c r="F68" i="3"/>
  <c r="E68" i="3"/>
  <c r="H68" i="3"/>
  <c r="F72" i="3"/>
  <c r="E72" i="3"/>
  <c r="H72" i="3"/>
  <c r="G72" i="3"/>
  <c r="G76" i="3"/>
  <c r="F76" i="3"/>
  <c r="E76" i="3"/>
  <c r="H76" i="3"/>
  <c r="H19" i="3"/>
  <c r="F19" i="3"/>
  <c r="E19" i="3"/>
  <c r="G19" i="3"/>
  <c r="G44" i="3"/>
  <c r="F44" i="3"/>
  <c r="E44" i="3"/>
  <c r="H44" i="3"/>
  <c r="G12" i="3"/>
  <c r="F12" i="3"/>
  <c r="E12" i="3"/>
  <c r="H12" i="3"/>
  <c r="G36" i="3"/>
  <c r="F36" i="3"/>
  <c r="E36" i="3"/>
  <c r="H36" i="3"/>
  <c r="F40" i="3"/>
  <c r="E40" i="3"/>
  <c r="H40" i="3"/>
  <c r="G40" i="3"/>
  <c r="H45" i="3"/>
  <c r="G45" i="3"/>
  <c r="F45" i="3"/>
  <c r="E45" i="3"/>
  <c r="H34" i="3"/>
  <c r="G34" i="3"/>
  <c r="E34" i="3"/>
  <c r="H54" i="3"/>
  <c r="G54" i="3"/>
  <c r="H61" i="3"/>
  <c r="G61" i="3"/>
  <c r="F61" i="3"/>
  <c r="H66" i="3"/>
  <c r="G66" i="3"/>
  <c r="E66" i="3"/>
  <c r="E71" i="3"/>
  <c r="H71" i="3"/>
  <c r="E79" i="3"/>
  <c r="H79" i="3"/>
  <c r="F79" i="3"/>
  <c r="E87" i="3"/>
  <c r="H87" i="3"/>
  <c r="F87" i="3"/>
  <c r="G97" i="3"/>
  <c r="F97" i="3"/>
  <c r="E97" i="3"/>
  <c r="H97" i="3"/>
  <c r="E15" i="3"/>
  <c r="H15" i="3"/>
  <c r="G17" i="3"/>
  <c r="F17" i="3"/>
  <c r="G24" i="3"/>
  <c r="F34" i="3"/>
  <c r="F39" i="3"/>
  <c r="G49" i="3"/>
  <c r="F49" i="3"/>
  <c r="E54" i="3"/>
  <c r="E61" i="3"/>
  <c r="F66" i="3"/>
  <c r="F71" i="3"/>
  <c r="G79" i="3"/>
  <c r="G87" i="3"/>
  <c r="H98" i="3"/>
  <c r="G98" i="3"/>
  <c r="F98" i="3"/>
  <c r="E98" i="3"/>
  <c r="H22" i="3"/>
  <c r="G22" i="3"/>
  <c r="H29" i="3"/>
  <c r="G29" i="3"/>
  <c r="F29" i="3"/>
  <c r="F56" i="3"/>
  <c r="E56" i="3"/>
  <c r="F11" i="3"/>
  <c r="E11" i="3"/>
  <c r="H13" i="3"/>
  <c r="G13" i="3"/>
  <c r="F13" i="3"/>
  <c r="F22" i="3"/>
  <c r="H30" i="3"/>
  <c r="G30" i="3"/>
  <c r="F32" i="3"/>
  <c r="E32" i="3"/>
  <c r="H37" i="3"/>
  <c r="G37" i="3"/>
  <c r="F37" i="3"/>
  <c r="H42" i="3"/>
  <c r="G42" i="3"/>
  <c r="E42" i="3"/>
  <c r="E47" i="3"/>
  <c r="H47" i="3"/>
  <c r="F54" i="3"/>
  <c r="H56" i="3"/>
  <c r="H62" i="3"/>
  <c r="G62" i="3"/>
  <c r="F64" i="3"/>
  <c r="E64" i="3"/>
  <c r="H69" i="3"/>
  <c r="G69" i="3"/>
  <c r="F69" i="3"/>
  <c r="G71" i="3"/>
  <c r="H74" i="3"/>
  <c r="G74" i="3"/>
  <c r="E74" i="3"/>
  <c r="F80" i="3"/>
  <c r="E80" i="3"/>
  <c r="G80" i="3"/>
  <c r="H84" i="3"/>
  <c r="G84" i="3"/>
  <c r="F84" i="3"/>
  <c r="E84" i="3"/>
  <c r="F88" i="3"/>
  <c r="E88" i="3"/>
  <c r="G88" i="3"/>
  <c r="E39" i="3"/>
  <c r="H39" i="3"/>
  <c r="H35" i="3"/>
  <c r="F35" i="3"/>
  <c r="E35" i="3"/>
  <c r="G52" i="3"/>
  <c r="F52" i="3"/>
  <c r="E52" i="3"/>
  <c r="G57" i="3"/>
  <c r="F57" i="3"/>
  <c r="H67" i="3"/>
  <c r="F67" i="3"/>
  <c r="E67" i="3"/>
  <c r="H77" i="3"/>
  <c r="G77" i="3"/>
  <c r="F77" i="3"/>
  <c r="H85" i="3"/>
  <c r="G85" i="3"/>
  <c r="F85" i="3"/>
  <c r="H93" i="3"/>
  <c r="G93" i="3"/>
  <c r="F93" i="3"/>
  <c r="E93" i="3"/>
  <c r="H99" i="3"/>
  <c r="G99" i="3"/>
  <c r="F99" i="3"/>
  <c r="E99" i="3"/>
  <c r="G20" i="3"/>
  <c r="F20" i="3"/>
  <c r="E20" i="3"/>
  <c r="F9" i="3"/>
  <c r="H11" i="3"/>
  <c r="H18" i="3"/>
  <c r="G18" i="3"/>
  <c r="E18" i="3"/>
  <c r="H20" i="3"/>
  <c r="E23" i="3"/>
  <c r="H23" i="3"/>
  <c r="F30" i="3"/>
  <c r="H32" i="3"/>
  <c r="G35" i="3"/>
  <c r="H38" i="3"/>
  <c r="G38" i="3"/>
  <c r="G47" i="3"/>
  <c r="H50" i="3"/>
  <c r="G50" i="3"/>
  <c r="E50" i="3"/>
  <c r="H52" i="3"/>
  <c r="E55" i="3"/>
  <c r="H55" i="3"/>
  <c r="E57" i="3"/>
  <c r="F62" i="3"/>
  <c r="H64" i="3"/>
  <c r="G67" i="3"/>
  <c r="H70" i="3"/>
  <c r="G70" i="3"/>
  <c r="E77" i="3"/>
  <c r="G81" i="3"/>
  <c r="F81" i="3"/>
  <c r="E81" i="3"/>
  <c r="H81" i="3"/>
  <c r="E85" i="3"/>
  <c r="G89" i="3"/>
  <c r="F89" i="3"/>
  <c r="E89" i="3"/>
  <c r="H89" i="3"/>
  <c r="H94" i="3"/>
  <c r="G94" i="3"/>
  <c r="F94" i="3"/>
  <c r="E94" i="3"/>
  <c r="H100" i="3"/>
  <c r="G100" i="3"/>
  <c r="F100" i="3"/>
  <c r="E100" i="3"/>
  <c r="F24" i="3"/>
  <c r="E24" i="3"/>
  <c r="G25" i="3"/>
  <c r="F25" i="3"/>
  <c r="H2" i="3"/>
  <c r="E2" i="3"/>
  <c r="H9" i="3"/>
  <c r="F18" i="3"/>
  <c r="F23" i="3"/>
  <c r="H25" i="3"/>
  <c r="G33" i="3"/>
  <c r="F33" i="3"/>
  <c r="E38" i="3"/>
  <c r="F50" i="3"/>
  <c r="F55" i="3"/>
  <c r="H57" i="3"/>
  <c r="G65" i="3"/>
  <c r="F65" i="3"/>
  <c r="E70" i="3"/>
  <c r="H75" i="3"/>
  <c r="F75" i="3"/>
  <c r="E75" i="3"/>
  <c r="H78" i="3"/>
  <c r="G78" i="3"/>
  <c r="E78" i="3"/>
  <c r="H82" i="3"/>
  <c r="G82" i="3"/>
  <c r="F82" i="3"/>
  <c r="E82" i="3"/>
  <c r="H86" i="3"/>
  <c r="G86" i="3"/>
  <c r="E86" i="3"/>
  <c r="H90" i="3"/>
  <c r="G90" i="3"/>
  <c r="F90" i="3"/>
  <c r="E90" i="3"/>
  <c r="H101" i="3"/>
  <c r="G101" i="3"/>
  <c r="F101" i="3"/>
  <c r="E101" i="3"/>
  <c r="G4" i="3"/>
  <c r="F4" i="3"/>
  <c r="E4" i="3"/>
  <c r="H26" i="3"/>
  <c r="G26" i="3"/>
  <c r="E26" i="3"/>
  <c r="H46" i="3"/>
  <c r="G46" i="3"/>
  <c r="H53" i="3"/>
  <c r="G53" i="3"/>
  <c r="F53" i="3"/>
  <c r="H58" i="3"/>
  <c r="G58" i="3"/>
  <c r="E58" i="3"/>
  <c r="E63" i="3"/>
  <c r="H63" i="3"/>
  <c r="E95" i="3"/>
  <c r="H95" i="3"/>
  <c r="G95" i="3"/>
  <c r="F95" i="3"/>
  <c r="H10" i="3"/>
  <c r="E10" i="3"/>
  <c r="H21" i="3"/>
  <c r="G21" i="3"/>
  <c r="F21" i="3"/>
  <c r="E31" i="3"/>
  <c r="H31" i="3"/>
  <c r="F48" i="3"/>
  <c r="E48" i="3"/>
  <c r="G2" i="3"/>
  <c r="H4" i="3"/>
  <c r="F10" i="3"/>
  <c r="E21" i="3"/>
  <c r="F26" i="3"/>
  <c r="F31" i="3"/>
  <c r="H33" i="3"/>
  <c r="G41" i="3"/>
  <c r="F41" i="3"/>
  <c r="E46" i="3"/>
  <c r="G48" i="3"/>
  <c r="E53" i="3"/>
  <c r="F58" i="3"/>
  <c r="F63" i="3"/>
  <c r="H65" i="3"/>
  <c r="G73" i="3"/>
  <c r="F73" i="3"/>
  <c r="H83" i="3"/>
  <c r="G83" i="3"/>
  <c r="F83" i="3"/>
  <c r="E83" i="3"/>
  <c r="H91" i="3"/>
  <c r="G91" i="3"/>
  <c r="F91" i="3"/>
  <c r="E91" i="3"/>
  <c r="F96" i="3"/>
  <c r="E96" i="3"/>
  <c r="H96" i="3"/>
  <c r="G96" i="3"/>
  <c r="E92" i="3"/>
  <c r="F92" i="3"/>
  <c r="G92" i="3"/>
  <c r="G19" i="2" l="1"/>
  <c r="G12" i="2"/>
  <c r="G11" i="2"/>
  <c r="G22" i="2"/>
  <c r="G31" i="2"/>
  <c r="G33" i="2"/>
  <c r="G13" i="2"/>
  <c r="G24" i="2"/>
  <c r="G21" i="2"/>
  <c r="G20" i="2"/>
  <c r="G17" i="2"/>
  <c r="G16" i="2"/>
  <c r="G15" i="2"/>
  <c r="G26" i="2"/>
  <c r="G18" i="2"/>
  <c r="G14" i="2"/>
  <c r="G9" i="2"/>
  <c r="G7" i="2"/>
  <c r="G6" i="2"/>
  <c r="G35" i="2"/>
  <c r="G10" i="2"/>
  <c r="G36" i="2"/>
  <c r="G8" i="2"/>
  <c r="G5" i="2"/>
  <c r="G4" i="2"/>
  <c r="G32" i="2"/>
  <c r="G29" i="2"/>
  <c r="G28" i="2"/>
  <c r="G27" i="2"/>
  <c r="G3" i="2"/>
  <c r="G25" i="2"/>
  <c r="G23" i="2"/>
  <c r="G30" i="2"/>
  <c r="G34" i="2"/>
  <c r="G37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A98EF88-FA15-4357-9CAE-EAA8E2AB09C2}" name="message (1)1" type="6" refreshedVersion="8" background="1" saveData="1">
    <textPr codePage="850" sourceFile="C:\Users\Tiago\Downloads\message (1).txt" decimal="," thousands="." delimiter=":">
      <textFields count="5"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<sst xmlns="http://schemas.openxmlformats.org/spreadsheetml/2006/main" count="311" uniqueCount="127">
  <si>
    <t>Ref</t>
  </si>
  <si>
    <t xml:space="preserve"> Quantidade</t>
  </si>
  <si>
    <t xml:space="preserve"> Item</t>
  </si>
  <si>
    <t xml:space="preserve"> Explorer's Move</t>
  </si>
  <si>
    <t xml:space="preserve"> Emeralds</t>
  </si>
  <si>
    <t xml:space="preserve"> Agility Skin Stone</t>
  </si>
  <si>
    <t xml:space="preserve"> Chaos Core</t>
  </si>
  <si>
    <t xml:space="preserve"> Cosmic Artifact Chest</t>
  </si>
  <si>
    <t xml:space="preserve"> Intelligence Skin Stone</t>
  </si>
  <si>
    <t xml:space="preserve"> Choice of Radiant Crystal</t>
  </si>
  <si>
    <t xml:space="preserve"> Tower coin</t>
  </si>
  <si>
    <t xml:space="preserve"> Bottled Energy</t>
  </si>
  <si>
    <t xml:space="preserve"> Strength Skin Stone</t>
  </si>
  <si>
    <t xml:space="preserve"> Choice of Insignia</t>
  </si>
  <si>
    <t xml:space="preserve"> Flawless Artifact Metal</t>
  </si>
  <si>
    <t xml:space="preserve"> Choice of Greater Insignia</t>
  </si>
  <si>
    <t xml:space="preserve"> Primarch's Grasp fragments</t>
  </si>
  <si>
    <t xml:space="preserve"> Legendary Gift of the Dominion</t>
  </si>
  <si>
    <t xml:space="preserve"> Artifact Coin</t>
  </si>
  <si>
    <t xml:space="preserve"> Flawless Artifact Essence</t>
  </si>
  <si>
    <t xml:space="preserve"> Great enchantment rune</t>
  </si>
  <si>
    <t xml:space="preserve"> Chalice of the Primordials fragments</t>
  </si>
  <si>
    <t xml:space="preserve"> Flawless Artifact Chest</t>
  </si>
  <si>
    <t xml:space="preserve"> Huge EXP potion</t>
  </si>
  <si>
    <t xml:space="preserve"> Titan Skin Stone</t>
  </si>
  <si>
    <t xml:space="preserve"> Artifact Seal Chest</t>
  </si>
  <si>
    <t xml:space="preserve"> Chest of Support Titan Skins</t>
  </si>
  <si>
    <t xml:space="preserve"> Gleaming Seal Chest</t>
  </si>
  <si>
    <t xml:space="preserve"> Essence of the Elements</t>
  </si>
  <si>
    <t xml:space="preserve"> Ancient Titan Artifact Chest</t>
  </si>
  <si>
    <t xml:space="preserve"> Outland Coin</t>
  </si>
  <si>
    <t xml:space="preserve"> Chest of Supertitans</t>
  </si>
  <si>
    <t xml:space="preserve"> Titan Artifact Sphere</t>
  </si>
  <si>
    <t xml:space="preserve"> Summoning Sphere</t>
  </si>
  <si>
    <t xml:space="preserve"> Elemental Tournament Coin</t>
  </si>
  <si>
    <t xml:space="preserve"> Titan Potion</t>
  </si>
  <si>
    <t xml:space="preserve"> Flawless Artifact Scroll</t>
  </si>
  <si>
    <t xml:space="preserve"> Quant 2</t>
  </si>
  <si>
    <t xml:space="preserve"> Item 2</t>
  </si>
  <si>
    <t xml:space="preserve"> Gold</t>
  </si>
  <si>
    <t>Item</t>
  </si>
  <si>
    <t>Quantidade</t>
  </si>
  <si>
    <t>Ref busca</t>
  </si>
  <si>
    <t>Ref usuario</t>
  </si>
  <si>
    <t>Ref dev</t>
  </si>
  <si>
    <t>Ref Dev</t>
  </si>
  <si>
    <t>Steps</t>
  </si>
  <si>
    <t>Tower/House/Chest Number</t>
  </si>
  <si>
    <t>validação</t>
  </si>
  <si>
    <t>on/off</t>
  </si>
  <si>
    <t>Quant Atual</t>
  </si>
  <si>
    <t>Quant Salva</t>
  </si>
  <si>
    <t>Diferenca</t>
  </si>
  <si>
    <t>Keys</t>
  </si>
  <si>
    <t>B. Energy</t>
  </si>
  <si>
    <t>Artifact C</t>
  </si>
  <si>
    <t>Outland C</t>
  </si>
  <si>
    <t>Tower C</t>
  </si>
  <si>
    <t>FA Essence</t>
  </si>
  <si>
    <t>FA Metal</t>
  </si>
  <si>
    <t>FA Scroll</t>
  </si>
  <si>
    <t>G.E. Rune</t>
  </si>
  <si>
    <t>CP fragments</t>
  </si>
  <si>
    <t>PG fragments</t>
  </si>
  <si>
    <t>SS: Int</t>
  </si>
  <si>
    <t>SS: Agili</t>
  </si>
  <si>
    <t>SS:  Strg</t>
  </si>
  <si>
    <t>SS: Titan</t>
  </si>
  <si>
    <t>AC: Seal</t>
  </si>
  <si>
    <t>AC: Cosmic</t>
  </si>
  <si>
    <t>GC: Seal</t>
  </si>
  <si>
    <t>C: SupTitan</t>
  </si>
  <si>
    <t>AC: Anc Tit</t>
  </si>
  <si>
    <t>SC Supp Tit</t>
  </si>
  <si>
    <t>Choice of Radiant Crystal</t>
  </si>
  <si>
    <t>Elemental Tournament Coin</t>
  </si>
  <si>
    <t>Gleaming Seal Chest</t>
  </si>
  <si>
    <t>Titan Skin Stone</t>
  </si>
  <si>
    <t>Chest of Supertitans</t>
  </si>
  <si>
    <t>Ancient Titan Artifact Chest</t>
  </si>
  <si>
    <t>Essence of the Elements</t>
  </si>
  <si>
    <t>Cosmic Artifact Chest</t>
  </si>
  <si>
    <t>Titan Potion</t>
  </si>
  <si>
    <t>Titan Artifact Sphere</t>
  </si>
  <si>
    <t>Explorer's Move</t>
  </si>
  <si>
    <t>Agility Skin Stone</t>
  </si>
  <si>
    <t>Chaos Core</t>
  </si>
  <si>
    <t>Emeralds</t>
  </si>
  <si>
    <t>Intelligence Skin Stone</t>
  </si>
  <si>
    <t>Tower coin</t>
  </si>
  <si>
    <t>Bottled Energy</t>
  </si>
  <si>
    <t>Choice of Crystal</t>
  </si>
  <si>
    <t>Strength Skin Stone</t>
  </si>
  <si>
    <t>Choice of Insignia</t>
  </si>
  <si>
    <t>Flawless Artifact Metal</t>
  </si>
  <si>
    <t>Gold</t>
  </si>
  <si>
    <t>Primarch's Grasp fragments</t>
  </si>
  <si>
    <t>Choice of Greater Insignia</t>
  </si>
  <si>
    <t>Choice of Vibrant Crystal</t>
  </si>
  <si>
    <t>Legendary Gift of the Dominion</t>
  </si>
  <si>
    <t>Artifact Coin</t>
  </si>
  <si>
    <t>Flawless Artifact Essence</t>
  </si>
  <si>
    <t>Great enchantment rune</t>
  </si>
  <si>
    <t>Chalice of the Primordials fragments</t>
  </si>
  <si>
    <t>Flawless Artifact Chest</t>
  </si>
  <si>
    <t>Huge EXP potion</t>
  </si>
  <si>
    <t>Artifact Seal Chest</t>
  </si>
  <si>
    <t>Outland Coin</t>
  </si>
  <si>
    <t>Summoning Sphere</t>
  </si>
  <si>
    <t>Flawless Artifact Scroll</t>
  </si>
  <si>
    <t>Chest of Support Titan Skins</t>
  </si>
  <si>
    <t>img1</t>
  </si>
  <si>
    <t>img2</t>
  </si>
  <si>
    <t>img ref</t>
  </si>
  <si>
    <t>C Vib Cryst</t>
  </si>
  <si>
    <t>C Crystal</t>
  </si>
  <si>
    <t>C Insig</t>
  </si>
  <si>
    <t>FA Chest</t>
  </si>
  <si>
    <t>E. Tourn C</t>
  </si>
  <si>
    <t>Huge EXP</t>
  </si>
  <si>
    <t>Titan Pot</t>
  </si>
  <si>
    <t>Sum Sphere</t>
  </si>
  <si>
    <t>Titan ArSp</t>
  </si>
  <si>
    <t>EotE</t>
  </si>
  <si>
    <t>C Great Isg</t>
  </si>
  <si>
    <t>C Rad Cryst</t>
  </si>
  <si>
    <t>L Gift Dom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</si>
</sst>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111827"/>
      <name val="Courier New"/>
      <family val="3"/>
    </font>
  </fonts>
  <fills count="3">
    <fill>
      <patternFill patternType="none"/>
    </fill>
    <fill>
      <patternFill patternType="gray125"/>
    </fill>
    <fill>
      <patternFill patternType="solid">
        <fgColor rgb="FFF8FF9B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1" xfId="0" applyBorder="1"/>
    <xf numFmtId="0" fontId="0" fillId="2" borderId="1" xfId="0" applyFill="1" applyBorder="1"/>
    <xf numFmtId="0" fontId="1" fillId="0" borderId="1" xfId="0" applyFont="1" applyBorder="1"/>
    <xf numFmtId="0" fontId="2" fillId="0" borderId="0" xfId="0" applyFont="1"/>
    <xf numFmtId="0" fontId="0" fillId="0" borderId="0" xfId="0" applyProtection="1">
      <protection locked="0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8FF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514350</xdr:colOff>
          <xdr:row>1</xdr:row>
          <xdr:rowOff>171450</xdr:rowOff>
        </xdr:from>
        <xdr:to>
          <xdr:col>9</xdr:col>
          <xdr:colOff>552450</xdr:colOff>
          <xdr:row>11</xdr:row>
          <xdr:rowOff>47625</xdr:rowOff>
        </xdr:to>
        <xdr:sp macro="" textlink="">
          <xdr:nvSpPr>
            <xdr:cNvPr id="6147" name="ButtonStart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6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essage__1_1" connectionId="1" xr16:uid="{B0D468B4-EBAD-42D7-9B85-FFF5728D049D}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CFEA6-8F36-44B0-BFBA-B35A7B2FCEF5}">
  <sheetPr codeName="Planilha1"/>
  <dimension ref="A1:H140"/>
  <sheetViews>
    <sheetView topLeftCell="A52" zoomScale="250" zoomScaleNormal="250" workbookViewId="0">
      <selection activeCell="E53" sqref="E53"/>
    </sheetView>
  </sheetViews>
  <sheetFormatPr defaultRowHeight="15" x14ac:dyDescent="0.25"/>
  <cols>
    <col min="1" max="1" width="4.140625" bestFit="1" customWidth="1"/>
    <col min="2" max="2" width="6.7109375" bestFit="1" customWidth="1"/>
    <col min="3" max="3" width="11.85546875" bestFit="1" customWidth="1"/>
    <col min="4" max="4" width="34.42578125" bestFit="1" customWidth="1"/>
    <col min="5" max="5" width="8.28515625" bestFit="1" customWidth="1"/>
    <col min="6" max="6" width="26.5703125" bestFit="1" customWidth="1"/>
  </cols>
  <sheetData>
    <row r="1" spans="1:8" x14ac:dyDescent="0.25">
      <c r="A1" t="s">
        <v>0</v>
      </c>
      <c r="B1" t="s">
        <v>49</v>
      </c>
      <c r="C1" t="s">
        <v>1</v>
      </c>
      <c r="D1" t="s">
        <v>2</v>
      </c>
      <c r="E1" t="s">
        <v>37</v>
      </c>
      <c r="F1" t="s">
        <v>38</v>
      </c>
      <c r="G1" t="s">
        <v>111</v>
      </c>
      <c r="H1" t="s">
        <v>112</v>
      </c>
    </row>
    <row r="2" spans="1:8" x14ac:dyDescent="0.25">
      <c r="A2">
        <v>13</v>
      </c>
      <c r="B2" s="5">
        <f>Planilha4!B1</f>
        <v>0</v>
      </c>
      <c r="C2">
        <v>5</v>
      </c>
      <c r="D2" t="s">
        <v>84</v>
      </c>
      <c r="E2">
        <v>500</v>
      </c>
      <c r="F2" t="s">
        <v>87</v>
      </c>
      <c r="G2">
        <f>INDEX(Planilha4!D2:D38, MATCH(D2, Planilha4!E2:E38, 0))</f>
        <v>1</v>
      </c>
      <c r="H2">
        <f>IFERROR(INDEX(Planilha4!D2:D38, MATCH(F2, Planilha4!E2:E38, 0)),0)</f>
        <v>4</v>
      </c>
    </row>
    <row r="3" spans="1:8" x14ac:dyDescent="0.25">
      <c r="A3">
        <v>25</v>
      </c>
      <c r="B3" s="5">
        <f>Planilha4!B2</f>
        <v>0</v>
      </c>
      <c r="C3">
        <v>300</v>
      </c>
      <c r="D3" t="s">
        <v>85</v>
      </c>
      <c r="G3">
        <f>INDEX(Planilha4!D2:D38, MATCH(D3, Planilha4!E2:E38, 0))</f>
        <v>24</v>
      </c>
      <c r="H3">
        <f>IFERROR(INDEX(Planilha4!D2:D38, MATCH(F3, Planilha4!E2:E38, 0)),0)</f>
        <v>0</v>
      </c>
    </row>
    <row r="4" spans="1:8" x14ac:dyDescent="0.25">
      <c r="A4">
        <v>26</v>
      </c>
      <c r="B4" s="5">
        <f>Planilha4!B3</f>
        <v>0</v>
      </c>
      <c r="C4">
        <v>3</v>
      </c>
      <c r="D4" t="s">
        <v>86</v>
      </c>
      <c r="G4">
        <f>INDEX(Planilha4!D2:D38, MATCH(D4, Planilha4!E2:E38, 0))</f>
        <v>14</v>
      </c>
      <c r="H4">
        <f>IFERROR(INDEX(Planilha4!D2:D38, MATCH(F4, Planilha4!E2:E38, 0)),0)</f>
        <v>0</v>
      </c>
    </row>
    <row r="5" spans="1:8" x14ac:dyDescent="0.25">
      <c r="A5">
        <v>39</v>
      </c>
      <c r="B5" s="5">
        <f>Planilha4!B4</f>
        <v>0</v>
      </c>
      <c r="C5">
        <v>5</v>
      </c>
      <c r="D5" t="s">
        <v>81</v>
      </c>
      <c r="G5">
        <f>INDEX(Planilha4!D2:D38, MATCH(D5, Planilha4!E2:E38, 0))</f>
        <v>32</v>
      </c>
      <c r="H5">
        <f>IFERROR(INDEX(Planilha4!D2:D38, MATCH(F5, Planilha4!E2:E38, 0)),0)</f>
        <v>0</v>
      </c>
    </row>
    <row r="6" spans="1:8" x14ac:dyDescent="0.25">
      <c r="A6">
        <v>51</v>
      </c>
      <c r="B6" s="5">
        <f>Planilha4!B5</f>
        <v>0</v>
      </c>
      <c r="C6">
        <v>500</v>
      </c>
      <c r="D6" t="s">
        <v>87</v>
      </c>
      <c r="G6">
        <f>INDEX(Planilha4!D2:D38, MATCH(D6, Planilha4!E2:E38, 0))</f>
        <v>4</v>
      </c>
      <c r="H6">
        <f>IFERROR(INDEX(Planilha4!D2:D38, MATCH(F6, Planilha4!E2:E38, 0)),0)</f>
        <v>0</v>
      </c>
    </row>
    <row r="7" spans="1:8" x14ac:dyDescent="0.25">
      <c r="A7">
        <v>52</v>
      </c>
      <c r="B7" s="5">
        <f>Planilha4!B6</f>
        <v>0</v>
      </c>
      <c r="C7">
        <v>800</v>
      </c>
      <c r="D7" t="s">
        <v>88</v>
      </c>
      <c r="G7">
        <f>INDEX(Planilha4!D2:D38, MATCH(D7, Planilha4!E2:E38, 0))</f>
        <v>25</v>
      </c>
      <c r="H7">
        <f>IFERROR(INDEX(Planilha4!D2:D38, MATCH(F7, Planilha4!E2:E38, 0)),0)</f>
        <v>0</v>
      </c>
    </row>
    <row r="8" spans="1:8" x14ac:dyDescent="0.25">
      <c r="A8">
        <v>65</v>
      </c>
      <c r="B8" s="5">
        <f>Planilha4!B7</f>
        <v>0</v>
      </c>
      <c r="C8">
        <v>3000</v>
      </c>
      <c r="D8" t="s">
        <v>88</v>
      </c>
      <c r="E8">
        <v>3000</v>
      </c>
      <c r="F8" t="s">
        <v>85</v>
      </c>
      <c r="G8">
        <f>INDEX(Planilha4!D2:D38, MATCH(D8, Planilha4!E2:E38, 0))</f>
        <v>25</v>
      </c>
      <c r="H8">
        <f>IFERROR(INDEX(Planilha4!D2:D38, MATCH(F8, Planilha4!E2:E38, 0)),0)</f>
        <v>24</v>
      </c>
    </row>
    <row r="9" spans="1:8" x14ac:dyDescent="0.25">
      <c r="A9">
        <v>79</v>
      </c>
      <c r="B9" s="5">
        <f>Planilha4!B8</f>
        <v>0</v>
      </c>
      <c r="C9">
        <v>50</v>
      </c>
      <c r="D9" t="s">
        <v>74</v>
      </c>
      <c r="G9">
        <f>INDEX(Planilha4!D2:D38, MATCH(D9, Planilha4!E2:E38, 0))</f>
        <v>23</v>
      </c>
      <c r="H9">
        <f>IFERROR(INDEX(Planilha4!D2:D38, MATCH(F9, Planilha4!E2:E38, 0)),0)</f>
        <v>0</v>
      </c>
    </row>
    <row r="10" spans="1:8" x14ac:dyDescent="0.25">
      <c r="A10">
        <v>80</v>
      </c>
      <c r="B10" s="5">
        <f>Planilha4!B9</f>
        <v>0</v>
      </c>
      <c r="C10">
        <v>1000</v>
      </c>
      <c r="D10" t="s">
        <v>89</v>
      </c>
      <c r="G10">
        <f>INDEX(Planilha4!D2:D38, MATCH(D10, Planilha4!E2:E38, 0))</f>
        <v>5</v>
      </c>
      <c r="H10">
        <f>IFERROR(INDEX(Planilha4!D2:D38, MATCH(F10, Planilha4!E2:E38, 0)),0)</f>
        <v>0</v>
      </c>
    </row>
    <row r="11" spans="1:8" x14ac:dyDescent="0.25">
      <c r="A11">
        <v>96</v>
      </c>
      <c r="B11" s="5">
        <f>Planilha4!B10</f>
        <v>0</v>
      </c>
      <c r="C11">
        <v>2</v>
      </c>
      <c r="D11" t="s">
        <v>90</v>
      </c>
      <c r="G11">
        <f>INDEX(Planilha4!D2:D38, MATCH(D11, Planilha4!E2:E38, 0))</f>
        <v>9</v>
      </c>
      <c r="H11">
        <f>IFERROR(INDEX(Planilha4!D2:D38, MATCH(F11, Planilha4!E2:E38, 0)),0)</f>
        <v>0</v>
      </c>
    </row>
    <row r="12" spans="1:8" x14ac:dyDescent="0.25">
      <c r="A12">
        <v>97</v>
      </c>
      <c r="B12" s="5">
        <f>Planilha4!B11</f>
        <v>0</v>
      </c>
      <c r="C12">
        <v>150</v>
      </c>
      <c r="D12" t="s">
        <v>91</v>
      </c>
      <c r="G12">
        <f>INDEX(Planilha4!D2:D38, MATCH(D12, Planilha4!E2:E38, 0))</f>
        <v>21</v>
      </c>
      <c r="H12">
        <f>IFERROR(INDEX(Planilha4!D2:D38, MATCH(F12, Planilha4!E2:E38, 0)),0)</f>
        <v>0</v>
      </c>
    </row>
    <row r="13" spans="1:8" x14ac:dyDescent="0.25">
      <c r="A13">
        <v>98</v>
      </c>
      <c r="B13" s="5">
        <f>Planilha4!B12</f>
        <v>0</v>
      </c>
      <c r="C13">
        <v>2</v>
      </c>
      <c r="D13" t="s">
        <v>86</v>
      </c>
      <c r="G13">
        <f>INDEX(Planilha4!D2:D38, MATCH(D13, Planilha4!E2:E38, 0))</f>
        <v>14</v>
      </c>
      <c r="H13">
        <f>IFERROR(INDEX(Planilha4!D2:D38, MATCH(F13, Planilha4!E2:E38, 0)),0)</f>
        <v>0</v>
      </c>
    </row>
    <row r="14" spans="1:8" x14ac:dyDescent="0.25">
      <c r="A14">
        <v>110</v>
      </c>
      <c r="B14" s="5">
        <f>Planilha4!B13</f>
        <v>0</v>
      </c>
      <c r="C14">
        <v>8000</v>
      </c>
      <c r="D14" t="s">
        <v>92</v>
      </c>
      <c r="E14">
        <v>8000</v>
      </c>
      <c r="F14" t="s">
        <v>85</v>
      </c>
      <c r="G14">
        <f>INDEX(Planilha4!D2:D38, MATCH(D14, Planilha4!E2:E38, 0))</f>
        <v>26</v>
      </c>
      <c r="H14">
        <f>IFERROR(INDEX(Planilha4!D2:D38, MATCH(F14, Planilha4!E2:E38, 0)),0)</f>
        <v>24</v>
      </c>
    </row>
    <row r="15" spans="1:8" x14ac:dyDescent="0.25">
      <c r="A15">
        <v>112</v>
      </c>
      <c r="B15" s="5">
        <f>Planilha4!B14</f>
        <v>0</v>
      </c>
      <c r="C15">
        <v>500</v>
      </c>
      <c r="D15" t="s">
        <v>92</v>
      </c>
      <c r="G15">
        <f>INDEX(Planilha4!D2:D38, MATCH(D15, Planilha4!E2:E38, 0))</f>
        <v>26</v>
      </c>
      <c r="H15">
        <f>IFERROR(INDEX(Planilha4!D2:D38, MATCH(F15, Planilha4!E2:E38, 0)),0)</f>
        <v>0</v>
      </c>
    </row>
    <row r="16" spans="1:8" x14ac:dyDescent="0.25">
      <c r="A16">
        <v>113</v>
      </c>
      <c r="B16" s="5">
        <f>Planilha4!B15</f>
        <v>0</v>
      </c>
      <c r="C16">
        <v>50</v>
      </c>
      <c r="D16" t="s">
        <v>93</v>
      </c>
      <c r="G16">
        <f>INDEX(Planilha4!D2:D38, MATCH(D16, Planilha4!E2:E38, 0))</f>
        <v>19</v>
      </c>
      <c r="H16">
        <f>IFERROR(INDEX(Planilha4!D2:D38, MATCH(F16, Planilha4!E2:E38, 0)),0)</f>
        <v>0</v>
      </c>
    </row>
    <row r="17" spans="1:8" x14ac:dyDescent="0.25">
      <c r="A17">
        <v>114</v>
      </c>
      <c r="B17" s="5">
        <f>Planilha4!B16</f>
        <v>0</v>
      </c>
      <c r="C17">
        <v>800</v>
      </c>
      <c r="D17" t="s">
        <v>85</v>
      </c>
      <c r="G17">
        <f>INDEX(Planilha4!D2:D38, MATCH(D17, Planilha4!E2:E38, 0))</f>
        <v>24</v>
      </c>
      <c r="H17">
        <f>IFERROR(INDEX(Planilha4!D2:D38, MATCH(F17, Planilha4!E2:E38, 0)),0)</f>
        <v>0</v>
      </c>
    </row>
    <row r="18" spans="1:8" x14ac:dyDescent="0.25">
      <c r="A18">
        <v>125</v>
      </c>
      <c r="B18" s="5">
        <f>Planilha4!B17</f>
        <v>0</v>
      </c>
      <c r="C18">
        <v>25</v>
      </c>
      <c r="D18" t="s">
        <v>94</v>
      </c>
      <c r="G18">
        <f>INDEX(Planilha4!D2:D38, MATCH(D18, Planilha4!E2:E38, 0))</f>
        <v>12</v>
      </c>
      <c r="H18">
        <f>IFERROR(INDEX(Planilha4!D2:D38, MATCH(F18, Planilha4!E2:E38, 0)),0)</f>
        <v>0</v>
      </c>
    </row>
    <row r="19" spans="1:8" x14ac:dyDescent="0.25">
      <c r="A19">
        <v>127</v>
      </c>
      <c r="B19" s="5">
        <f>Planilha4!B18</f>
        <v>0</v>
      </c>
      <c r="C19">
        <v>30</v>
      </c>
      <c r="D19" t="s">
        <v>93</v>
      </c>
      <c r="G19">
        <f>INDEX(Planilha4!D2:D38, MATCH(D19, Planilha4!E2:E38, 0))</f>
        <v>19</v>
      </c>
      <c r="H19">
        <f>IFERROR(INDEX(Planilha4!D2:D38, MATCH(F19, Planilha4!E2:E38, 0)),0)</f>
        <v>0</v>
      </c>
    </row>
    <row r="20" spans="1:8" x14ac:dyDescent="0.25">
      <c r="A20">
        <v>130</v>
      </c>
      <c r="B20" s="5">
        <f>Planilha4!B19</f>
        <v>0</v>
      </c>
      <c r="C20">
        <v>500</v>
      </c>
      <c r="D20" t="s">
        <v>87</v>
      </c>
      <c r="G20">
        <f>INDEX(Planilha4!D2:D38, MATCH(D20, Planilha4!E2:E38, 0))</f>
        <v>4</v>
      </c>
      <c r="H20">
        <f>IFERROR(INDEX(Planilha4!D2:D38, MATCH(F20, Planilha4!E2:E38, 0)),0)</f>
        <v>0</v>
      </c>
    </row>
    <row r="21" spans="1:8" x14ac:dyDescent="0.25">
      <c r="A21">
        <v>131</v>
      </c>
      <c r="B21" s="5">
        <f>Planilha4!B20</f>
        <v>0</v>
      </c>
      <c r="C21">
        <v>1000</v>
      </c>
      <c r="D21" t="s">
        <v>74</v>
      </c>
      <c r="E21">
        <v>500</v>
      </c>
      <c r="F21" t="s">
        <v>97</v>
      </c>
      <c r="G21">
        <f>INDEX(Planilha4!D2:D38, MATCH(D21, Planilha4!E2:E38, 0))</f>
        <v>23</v>
      </c>
      <c r="H21">
        <f>IFERROR(INDEX(Planilha4!D2:D38, MATCH(F21, Planilha4!E2:E38, 0)),0)</f>
        <v>20</v>
      </c>
    </row>
    <row r="22" spans="1:8" x14ac:dyDescent="0.25">
      <c r="A22">
        <v>141</v>
      </c>
      <c r="B22" s="5">
        <f>Planilha4!B21</f>
        <v>0</v>
      </c>
      <c r="C22">
        <v>1000000</v>
      </c>
      <c r="D22" t="s">
        <v>95</v>
      </c>
      <c r="G22">
        <f>INDEX(Planilha4!D2:D38, MATCH(D22, Planilha4!E2:E38, 0))</f>
        <v>3</v>
      </c>
      <c r="H22">
        <f>IFERROR(INDEX(Planilha4!D2:D38, MATCH(F22, Planilha4!E2:E38, 0)),0)</f>
        <v>0</v>
      </c>
    </row>
    <row r="23" spans="1:8" x14ac:dyDescent="0.25">
      <c r="A23">
        <v>143</v>
      </c>
      <c r="B23" s="5">
        <f>Planilha4!B22</f>
        <v>0</v>
      </c>
      <c r="C23">
        <v>50</v>
      </c>
      <c r="D23" t="s">
        <v>94</v>
      </c>
      <c r="G23">
        <f>INDEX(Planilha4!D2:D38, MATCH(D23, Planilha4!E2:E38, 0))</f>
        <v>12</v>
      </c>
      <c r="H23">
        <f>IFERROR(INDEX(Planilha4!D2:D38, MATCH(F23, Planilha4!E2:E38, 0)),0)</f>
        <v>0</v>
      </c>
    </row>
    <row r="24" spans="1:8" x14ac:dyDescent="0.25">
      <c r="A24">
        <v>144</v>
      </c>
      <c r="B24" s="5">
        <f>Planilha4!B23</f>
        <v>0</v>
      </c>
      <c r="C24">
        <v>50</v>
      </c>
      <c r="D24" t="s">
        <v>96</v>
      </c>
      <c r="G24">
        <f>INDEX(Planilha4!D2:D38, MATCH(D24, Planilha4!E2:E38, 0))</f>
        <v>17</v>
      </c>
      <c r="H24">
        <f>IFERROR(INDEX(Planilha4!D2:D38, MATCH(F24, Planilha4!E2:E38, 0)),0)</f>
        <v>0</v>
      </c>
    </row>
    <row r="25" spans="1:8" x14ac:dyDescent="0.25">
      <c r="A25">
        <v>146</v>
      </c>
      <c r="B25" s="5">
        <f>Planilha4!B24</f>
        <v>0</v>
      </c>
      <c r="C25">
        <v>15</v>
      </c>
      <c r="D25" t="s">
        <v>97</v>
      </c>
      <c r="G25">
        <f>INDEX(Planilha4!D2:D38, MATCH(D25, Planilha4!E2:E38, 0))</f>
        <v>20</v>
      </c>
      <c r="H25">
        <f>IFERROR(INDEX(Planilha4!D2:D38, MATCH(F25, Planilha4!E2:E38, 0)),0)</f>
        <v>0</v>
      </c>
    </row>
    <row r="26" spans="1:8" x14ac:dyDescent="0.25">
      <c r="A26">
        <v>147</v>
      </c>
      <c r="B26" s="5">
        <f>Planilha4!B25</f>
        <v>0</v>
      </c>
      <c r="C26">
        <v>75</v>
      </c>
      <c r="D26" t="s">
        <v>98</v>
      </c>
      <c r="G26">
        <f>INDEX(Planilha4!D2:D38, MATCH(D26, Planilha4!E2:E38, 0))</f>
        <v>22</v>
      </c>
      <c r="H26">
        <f>IFERROR(INDEX(Planilha4!D2:D38, MATCH(F26, Planilha4!E2:E38, 0)),0)</f>
        <v>0</v>
      </c>
    </row>
    <row r="27" spans="1:8" x14ac:dyDescent="0.25">
      <c r="A27">
        <v>148</v>
      </c>
      <c r="B27" s="5">
        <f>Planilha4!B26</f>
        <v>0</v>
      </c>
      <c r="C27">
        <v>800</v>
      </c>
      <c r="D27" t="s">
        <v>92</v>
      </c>
      <c r="G27">
        <f>INDEX(Planilha4!D2:D38, MATCH(D27, Planilha4!E2:E38, 0))</f>
        <v>26</v>
      </c>
      <c r="H27">
        <f>IFERROR(INDEX(Planilha4!D2:D38, MATCH(F27, Planilha4!E2:E38, 0)),0)</f>
        <v>0</v>
      </c>
    </row>
    <row r="28" spans="1:8" x14ac:dyDescent="0.25">
      <c r="A28">
        <v>158</v>
      </c>
      <c r="B28" s="5">
        <f>Planilha4!B27</f>
        <v>0</v>
      </c>
      <c r="C28">
        <v>25</v>
      </c>
      <c r="D28" t="s">
        <v>97</v>
      </c>
      <c r="G28">
        <f>INDEX(Planilha4!D2:D38, MATCH(D28, Planilha4!E2:E38, 0))</f>
        <v>20</v>
      </c>
      <c r="H28">
        <f>IFERROR(INDEX(Planilha4!D2:D38, MATCH(F28, Planilha4!E2:E38, 0)),0)</f>
        <v>0</v>
      </c>
    </row>
    <row r="29" spans="1:8" x14ac:dyDescent="0.25">
      <c r="A29">
        <v>160</v>
      </c>
      <c r="B29" s="5">
        <f>Planilha4!B28</f>
        <v>0</v>
      </c>
      <c r="C29">
        <v>1</v>
      </c>
      <c r="D29" t="s">
        <v>99</v>
      </c>
      <c r="E29">
        <v>20000</v>
      </c>
      <c r="F29" t="s">
        <v>87</v>
      </c>
      <c r="G29">
        <f>INDEX(Planilha4!D2:D38, MATCH(D29, Planilha4!E2:E38, 0))</f>
        <v>18</v>
      </c>
      <c r="H29">
        <f>IFERROR(INDEX(Planilha4!D2:D38, MATCH(F29, Planilha4!E2:E38, 0)),0)</f>
        <v>4</v>
      </c>
    </row>
    <row r="30" spans="1:8" x14ac:dyDescent="0.25">
      <c r="A30">
        <v>162</v>
      </c>
      <c r="B30" s="5">
        <f>Planilha4!B29</f>
        <v>0</v>
      </c>
      <c r="C30">
        <v>4000</v>
      </c>
      <c r="D30" t="s">
        <v>100</v>
      </c>
      <c r="G30">
        <f>INDEX(Planilha4!D2:D38, MATCH(D30, Planilha4!E2:E38, 0))</f>
        <v>7</v>
      </c>
      <c r="H30">
        <f>IFERROR(INDEX(Planilha4!D2:D38, MATCH(F30, Planilha4!E2:E38, 0)),0)</f>
        <v>0</v>
      </c>
    </row>
    <row r="31" spans="1:8" x14ac:dyDescent="0.25">
      <c r="A31">
        <v>163</v>
      </c>
      <c r="B31" s="5">
        <f>Planilha4!B30</f>
        <v>0</v>
      </c>
      <c r="C31">
        <v>50</v>
      </c>
      <c r="D31" t="s">
        <v>98</v>
      </c>
      <c r="G31">
        <f>INDEX(Planilha4!D2:D38, MATCH(D31, Planilha4!E2:E38, 0))</f>
        <v>22</v>
      </c>
      <c r="H31">
        <f>IFERROR(INDEX(Planilha4!D2:D38, MATCH(F31, Planilha4!E2:E38, 0)),0)</f>
        <v>0</v>
      </c>
    </row>
    <row r="32" spans="1:8" x14ac:dyDescent="0.25">
      <c r="A32">
        <v>164</v>
      </c>
      <c r="B32" s="5">
        <f>Planilha4!B31</f>
        <v>0</v>
      </c>
      <c r="C32">
        <v>25</v>
      </c>
      <c r="D32" t="s">
        <v>101</v>
      </c>
      <c r="G32">
        <f>INDEX(Planilha4!D2:D38, MATCH(D32, Planilha4!E2:E38, 0))</f>
        <v>11</v>
      </c>
      <c r="H32">
        <f>IFERROR(INDEX(Planilha4!D2:D38, MATCH(F32, Planilha4!E2:E38, 0)),0)</f>
        <v>0</v>
      </c>
    </row>
    <row r="33" spans="1:8" x14ac:dyDescent="0.25">
      <c r="A33">
        <v>166</v>
      </c>
      <c r="B33" s="5">
        <f>Planilha4!B32</f>
        <v>0</v>
      </c>
      <c r="C33">
        <v>2000</v>
      </c>
      <c r="D33" t="s">
        <v>100</v>
      </c>
      <c r="G33">
        <f>INDEX(Planilha4!D2:D38, MATCH(D33, Planilha4!E2:E38, 0))</f>
        <v>7</v>
      </c>
      <c r="H33">
        <f>IFERROR(INDEX(Planilha4!D2:D38, MATCH(F33, Planilha4!E2:E38, 0)),0)</f>
        <v>0</v>
      </c>
    </row>
    <row r="34" spans="1:8" x14ac:dyDescent="0.25">
      <c r="A34">
        <v>167</v>
      </c>
      <c r="B34" s="5">
        <f>Planilha4!B33</f>
        <v>0</v>
      </c>
      <c r="C34">
        <v>5</v>
      </c>
      <c r="D34" t="s">
        <v>86</v>
      </c>
      <c r="G34">
        <f>INDEX(Planilha4!D2:D38, MATCH(D34, Planilha4!E2:E38, 0))</f>
        <v>14</v>
      </c>
      <c r="H34">
        <f>IFERROR(INDEX(Planilha4!D2:D38, MATCH(F34, Planilha4!E2:E38, 0)),0)</f>
        <v>0</v>
      </c>
    </row>
    <row r="35" spans="1:8" x14ac:dyDescent="0.25">
      <c r="A35">
        <v>168</v>
      </c>
      <c r="B35" s="5">
        <f>Planilha4!B34</f>
        <v>0</v>
      </c>
      <c r="C35">
        <v>8</v>
      </c>
      <c r="D35" t="s">
        <v>102</v>
      </c>
      <c r="G35">
        <f>INDEX(Planilha4!D2:D38, MATCH(D35, Planilha4!E2:E38, 0))</f>
        <v>15</v>
      </c>
      <c r="H35">
        <f>IFERROR(INDEX(Planilha4!D2:D38, MATCH(F35, Planilha4!E2:E38, 0)),0)</f>
        <v>0</v>
      </c>
    </row>
    <row r="36" spans="1:8" x14ac:dyDescent="0.25">
      <c r="A36">
        <v>177</v>
      </c>
      <c r="B36" s="5">
        <f>Planilha4!B35</f>
        <v>0</v>
      </c>
      <c r="C36">
        <v>1</v>
      </c>
      <c r="D36" t="s">
        <v>90</v>
      </c>
      <c r="G36">
        <f>INDEX(Planilha4!D2:D38, MATCH(D36, Planilha4!E2:E38, 0))</f>
        <v>9</v>
      </c>
      <c r="H36">
        <f>IFERROR(INDEX(Planilha4!D2:D38, MATCH(F36, Planilha4!E2:E38, 0)),0)</f>
        <v>0</v>
      </c>
    </row>
    <row r="37" spans="1:8" x14ac:dyDescent="0.25">
      <c r="A37">
        <v>181</v>
      </c>
      <c r="B37" s="5">
        <f>Planilha4!B36</f>
        <v>0</v>
      </c>
      <c r="C37">
        <v>50</v>
      </c>
      <c r="D37" t="s">
        <v>103</v>
      </c>
      <c r="G37">
        <f>INDEX(Planilha4!D2:D38, MATCH(D37, Planilha4!E2:E38, 0))</f>
        <v>16</v>
      </c>
      <c r="H37">
        <f>IFERROR(INDEX(Planilha4!D2:D38, MATCH(F37, Planilha4!E2:E38, 0)),0)</f>
        <v>0</v>
      </c>
    </row>
    <row r="38" spans="1:8" x14ac:dyDescent="0.25">
      <c r="A38">
        <v>182</v>
      </c>
      <c r="B38" s="5">
        <f>Planilha4!B37</f>
        <v>0</v>
      </c>
      <c r="C38">
        <v>5</v>
      </c>
      <c r="D38" t="s">
        <v>104</v>
      </c>
      <c r="G38">
        <f>INDEX(Planilha4!D2:D38, MATCH(D38, Planilha4!E2:E38, 0))</f>
        <v>10</v>
      </c>
      <c r="H38">
        <f>IFERROR(INDEX(Planilha4!D2:D38, MATCH(F38, Planilha4!E2:E38, 0)),0)</f>
        <v>0</v>
      </c>
    </row>
    <row r="39" spans="1:8" x14ac:dyDescent="0.25">
      <c r="A39">
        <v>183</v>
      </c>
      <c r="B39" s="5">
        <f>Planilha4!B38</f>
        <v>0</v>
      </c>
      <c r="C39">
        <v>500</v>
      </c>
      <c r="D39" t="s">
        <v>88</v>
      </c>
      <c r="G39">
        <f>INDEX(Planilha4!D2:D38, MATCH(D39, Planilha4!E2:E38, 0))</f>
        <v>25</v>
      </c>
      <c r="H39">
        <f>IFERROR(INDEX(Planilha4!D2:D38, MATCH(F39, Planilha4!E2:E38, 0)),0)</f>
        <v>0</v>
      </c>
    </row>
    <row r="40" spans="1:8" x14ac:dyDescent="0.25">
      <c r="A40">
        <v>184</v>
      </c>
      <c r="B40" s="5">
        <f>Planilha4!B39</f>
        <v>0</v>
      </c>
      <c r="C40">
        <v>1200</v>
      </c>
      <c r="D40" t="s">
        <v>87</v>
      </c>
      <c r="G40">
        <f>INDEX(Planilha4!D2:D38, MATCH(D40, Planilha4!E2:E38, 0))</f>
        <v>4</v>
      </c>
      <c r="H40">
        <f>IFERROR(INDEX(Planilha4!D2:D38, MATCH(F40, Planilha4!E2:E38, 0)),0)</f>
        <v>0</v>
      </c>
    </row>
    <row r="41" spans="1:8" x14ac:dyDescent="0.25">
      <c r="A41">
        <v>193</v>
      </c>
      <c r="B41" s="5">
        <f>Planilha4!B40</f>
        <v>0</v>
      </c>
      <c r="C41">
        <v>30</v>
      </c>
      <c r="D41" t="s">
        <v>96</v>
      </c>
      <c r="G41">
        <f>INDEX(Planilha4!D2:D38, MATCH(D41, Planilha4!E2:E38, 0))</f>
        <v>17</v>
      </c>
      <c r="H41">
        <f>IFERROR(INDEX(Planilha4!D2:D38, MATCH(F41, Planilha4!E2:E38, 0)),0)</f>
        <v>0</v>
      </c>
    </row>
    <row r="42" spans="1:8" x14ac:dyDescent="0.25">
      <c r="A42">
        <v>194</v>
      </c>
      <c r="B42" s="5">
        <f>Planilha4!B41</f>
        <v>0</v>
      </c>
      <c r="C42">
        <v>40</v>
      </c>
      <c r="D42" t="s">
        <v>105</v>
      </c>
      <c r="G42">
        <f>INDEX(Planilha4!D2:D38, MATCH(D42, Planilha4!E2:E38, 0))</f>
        <v>2</v>
      </c>
      <c r="H42">
        <f>IFERROR(INDEX(Planilha4!D2:D38, MATCH(F42, Planilha4!E2:E38, 0)),0)</f>
        <v>0</v>
      </c>
    </row>
    <row r="43" spans="1:8" x14ac:dyDescent="0.25">
      <c r="A43">
        <v>195</v>
      </c>
      <c r="B43" s="5">
        <f>Planilha4!B42</f>
        <v>0</v>
      </c>
      <c r="C43">
        <v>300</v>
      </c>
      <c r="D43" t="s">
        <v>88</v>
      </c>
      <c r="G43">
        <f>INDEX(Planilha4!D2:D38, MATCH(D43, Planilha4!E2:E38, 0))</f>
        <v>25</v>
      </c>
      <c r="H43">
        <f>IFERROR(INDEX(Planilha4!D2:D38, MATCH(F43, Planilha4!E2:E38, 0)),0)</f>
        <v>0</v>
      </c>
    </row>
    <row r="44" spans="1:8" x14ac:dyDescent="0.25">
      <c r="A44">
        <v>199</v>
      </c>
      <c r="B44" s="5">
        <f>Planilha4!B43</f>
        <v>0</v>
      </c>
      <c r="C44">
        <v>4</v>
      </c>
      <c r="D44" t="s">
        <v>90</v>
      </c>
      <c r="G44">
        <f>INDEX(Planilha4!D2:D38, MATCH(D44, Planilha4!E2:E38, 0))</f>
        <v>9</v>
      </c>
      <c r="H44">
        <f>IFERROR(INDEX(Planilha4!D2:D38, MATCH(F44, Planilha4!E2:E38, 0)),0)</f>
        <v>0</v>
      </c>
    </row>
    <row r="45" spans="1:8" x14ac:dyDescent="0.25">
      <c r="A45">
        <v>208</v>
      </c>
      <c r="B45" s="5">
        <f>Planilha4!B44</f>
        <v>0</v>
      </c>
      <c r="C45">
        <v>40</v>
      </c>
      <c r="D45" t="s">
        <v>97</v>
      </c>
      <c r="G45">
        <f>INDEX(Planilha4!D2:D38, MATCH(D45, Planilha4!E2:E38, 0))</f>
        <v>20</v>
      </c>
      <c r="H45">
        <f>IFERROR(INDEX(Planilha4!D2:D38, MATCH(F45, Planilha4!E2:E38, 0)),0)</f>
        <v>0</v>
      </c>
    </row>
    <row r="46" spans="1:8" x14ac:dyDescent="0.25">
      <c r="A46">
        <v>209</v>
      </c>
      <c r="B46" s="5">
        <f>Planilha4!B45</f>
        <v>0</v>
      </c>
      <c r="C46">
        <v>200</v>
      </c>
      <c r="D46" t="s">
        <v>91</v>
      </c>
      <c r="G46">
        <f>INDEX(Planilha4!D2:D38, MATCH(D46, Planilha4!E2:E38, 0))</f>
        <v>21</v>
      </c>
      <c r="H46">
        <f>IFERROR(INDEX(Planilha4!D2:D38, MATCH(F46, Planilha4!E2:E38, 0)),0)</f>
        <v>0</v>
      </c>
    </row>
    <row r="47" spans="1:8" x14ac:dyDescent="0.25">
      <c r="A47">
        <v>211</v>
      </c>
      <c r="B47" s="5">
        <f>Planilha4!B46</f>
        <v>0</v>
      </c>
      <c r="C47">
        <v>40</v>
      </c>
      <c r="D47" t="s">
        <v>74</v>
      </c>
      <c r="G47">
        <f>INDEX(Planilha4!D2:D38, MATCH(D47, Planilha4!E2:E38, 0))</f>
        <v>23</v>
      </c>
      <c r="H47">
        <f>IFERROR(INDEX(Planilha4!D2:D38, MATCH(F47, Planilha4!E2:E38, 0)),0)</f>
        <v>0</v>
      </c>
    </row>
    <row r="48" spans="1:8" x14ac:dyDescent="0.25">
      <c r="A48">
        <v>212</v>
      </c>
      <c r="B48" s="5">
        <f>Planilha4!B47</f>
        <v>0</v>
      </c>
      <c r="C48">
        <v>100</v>
      </c>
      <c r="D48" t="s">
        <v>91</v>
      </c>
      <c r="G48">
        <f>INDEX(Planilha4!D2:D38, MATCH(D48, Planilha4!E2:E38, 0))</f>
        <v>21</v>
      </c>
      <c r="H48">
        <f>IFERROR(INDEX(Planilha4!D2:D38, MATCH(F48, Planilha4!E2:E38, 0)),0)</f>
        <v>0</v>
      </c>
    </row>
    <row r="49" spans="1:8" x14ac:dyDescent="0.25">
      <c r="A49">
        <v>213</v>
      </c>
      <c r="B49" s="5">
        <f>Planilha4!B48</f>
        <v>0</v>
      </c>
      <c r="C49">
        <v>500</v>
      </c>
      <c r="D49" t="s">
        <v>85</v>
      </c>
      <c r="G49">
        <f>INDEX(Planilha4!D2:D38, MATCH(D49, Planilha4!E2:E38, 0))</f>
        <v>24</v>
      </c>
      <c r="H49">
        <f>IFERROR(INDEX(Planilha4!D2:D38, MATCH(F49, Planilha4!E2:E38, 0)),0)</f>
        <v>0</v>
      </c>
    </row>
    <row r="50" spans="1:8" x14ac:dyDescent="0.25">
      <c r="A50">
        <v>219</v>
      </c>
      <c r="B50" s="5">
        <f>Planilha4!B49</f>
        <v>0</v>
      </c>
      <c r="C50">
        <v>80</v>
      </c>
      <c r="D50" t="s">
        <v>90</v>
      </c>
      <c r="G50">
        <f>INDEX(Planilha4!D2:D38, MATCH(D50, Planilha4!E2:E38, 0))</f>
        <v>9</v>
      </c>
      <c r="H50">
        <f>IFERROR(INDEX(Planilha4!D2:D38, MATCH(F50, Planilha4!E2:E38, 0)),0)</f>
        <v>0</v>
      </c>
    </row>
    <row r="51" spans="1:8" x14ac:dyDescent="0.25">
      <c r="A51">
        <v>220</v>
      </c>
      <c r="B51" s="5">
        <f>Planilha4!B50</f>
        <v>0</v>
      </c>
      <c r="C51">
        <v>500000</v>
      </c>
      <c r="D51" t="s">
        <v>95</v>
      </c>
      <c r="G51">
        <f>INDEX(Planilha4!D2:D38, MATCH(D51, Planilha4!E2:E38, 0))</f>
        <v>3</v>
      </c>
      <c r="H51">
        <f>IFERROR(INDEX(Planilha4!D2:D38, MATCH(F51, Planilha4!E2:E38, 0)),0)</f>
        <v>0</v>
      </c>
    </row>
    <row r="52" spans="1:8" x14ac:dyDescent="0.25">
      <c r="A52">
        <v>221</v>
      </c>
      <c r="B52" s="5">
        <f>Planilha4!B51</f>
        <v>0</v>
      </c>
      <c r="C52">
        <v>300</v>
      </c>
      <c r="D52" t="s">
        <v>92</v>
      </c>
      <c r="G52">
        <f>INDEX(Planilha4!D2:D38, MATCH(D52, Planilha4!E2:E38, 0))</f>
        <v>26</v>
      </c>
      <c r="H52">
        <f>IFERROR(INDEX(Planilha4!D2:D38, MATCH(F52, Planilha4!E2:E38, 0)),0)</f>
        <v>0</v>
      </c>
    </row>
    <row r="53" spans="1:8" x14ac:dyDescent="0.25">
      <c r="A53">
        <v>222</v>
      </c>
      <c r="B53" s="5">
        <f>Planilha4!B52</f>
        <v>0</v>
      </c>
      <c r="C53">
        <v>12</v>
      </c>
      <c r="D53" t="s">
        <v>102</v>
      </c>
      <c r="G53">
        <f>INDEX(Planilha4!D2:D38, MATCH(D53, Planilha4!E2:E38, 0))</f>
        <v>15</v>
      </c>
      <c r="H53">
        <f>IFERROR(INDEX(Planilha4!D2:D38, MATCH(F53, Planilha4!E2:E38, 0)),0)</f>
        <v>0</v>
      </c>
    </row>
    <row r="54" spans="1:8" x14ac:dyDescent="0.25">
      <c r="A54">
        <v>228</v>
      </c>
      <c r="B54" s="5">
        <f>Planilha4!B53</f>
        <v>0</v>
      </c>
      <c r="C54">
        <v>70</v>
      </c>
      <c r="D54" t="s">
        <v>95</v>
      </c>
      <c r="G54">
        <f>INDEX(Planilha4!D2:D38, MATCH(D54, Planilha4!E2:E38, 0))</f>
        <v>3</v>
      </c>
      <c r="H54">
        <f>IFERROR(INDEX(Planilha4!D2:D38, MATCH(F54, Planilha4!E2:E38, 0)),0)</f>
        <v>0</v>
      </c>
    </row>
    <row r="55" spans="1:8" x14ac:dyDescent="0.25">
      <c r="A55">
        <v>229</v>
      </c>
      <c r="B55" s="5">
        <f>Planilha4!B54</f>
        <v>0</v>
      </c>
      <c r="C55">
        <v>2000</v>
      </c>
      <c r="D55" t="s">
        <v>77</v>
      </c>
      <c r="G55">
        <f>INDEX(Planilha4!D2:D38, MATCH(D55, Planilha4!E2:E38, 0))</f>
        <v>31</v>
      </c>
      <c r="H55">
        <f>IFERROR(INDEX(Planilha4!D2:D38, MATCH(F55, Planilha4!E2:E38, 0)),0)</f>
        <v>0</v>
      </c>
    </row>
    <row r="56" spans="1:8" x14ac:dyDescent="0.25">
      <c r="A56">
        <v>232</v>
      </c>
      <c r="B56" s="5">
        <f>Planilha4!B55</f>
        <v>0</v>
      </c>
      <c r="C56">
        <v>1000</v>
      </c>
      <c r="D56" t="s">
        <v>106</v>
      </c>
      <c r="E56">
        <v>1</v>
      </c>
      <c r="F56" t="s">
        <v>110</v>
      </c>
      <c r="G56">
        <f>INDEX(Planilha4!D2:D38, MATCH(D56, Planilha4!E2:E38, 0))</f>
        <v>33</v>
      </c>
      <c r="H56">
        <f>IFERROR(INDEX(Planilha4!D2:D38, MATCH(F56, Planilha4!E2:E38, 0)),0)</f>
        <v>37</v>
      </c>
    </row>
    <row r="57" spans="1:8" x14ac:dyDescent="0.25">
      <c r="A57">
        <v>233</v>
      </c>
      <c r="B57" s="5">
        <f>Planilha4!B56</f>
        <v>0</v>
      </c>
      <c r="C57">
        <v>30</v>
      </c>
      <c r="D57" t="s">
        <v>76</v>
      </c>
      <c r="G57">
        <f>INDEX(Planilha4!D2:D38, MATCH(D57, Planilha4!E2:E38, 0))</f>
        <v>34</v>
      </c>
      <c r="H57">
        <f>IFERROR(INDEX(Planilha4!D2:D38, MATCH(F57, Planilha4!E2:E38, 0)),0)</f>
        <v>0</v>
      </c>
    </row>
    <row r="58" spans="1:8" x14ac:dyDescent="0.25">
      <c r="A58">
        <v>234</v>
      </c>
      <c r="B58" s="5">
        <f>Planilha4!B57</f>
        <v>0</v>
      </c>
      <c r="C58">
        <v>8000</v>
      </c>
      <c r="D58" t="s">
        <v>80</v>
      </c>
      <c r="G58">
        <f>INDEX(Planilha4!D2:D38, MATCH(D58, Planilha4!E2:E38, 0))</f>
        <v>30</v>
      </c>
      <c r="H58">
        <f>IFERROR(INDEX(Planilha4!D2:D38, MATCH(F58, Planilha4!E2:E38, 0)),0)</f>
        <v>0</v>
      </c>
    </row>
    <row r="59" spans="1:8" x14ac:dyDescent="0.25">
      <c r="A59">
        <v>236</v>
      </c>
      <c r="B59" s="5">
        <f>Planilha4!B58</f>
        <v>0</v>
      </c>
      <c r="C59">
        <v>4500</v>
      </c>
      <c r="D59" t="s">
        <v>77</v>
      </c>
      <c r="G59">
        <f>INDEX(Planilha4!D2:D38, MATCH(D59, Planilha4!E2:E38, 0))</f>
        <v>31</v>
      </c>
      <c r="H59">
        <f>IFERROR(INDEX(Planilha4!D2:D38, MATCH(F59, Planilha4!E2:E38, 0)),0)</f>
        <v>0</v>
      </c>
    </row>
    <row r="60" spans="1:8" x14ac:dyDescent="0.25">
      <c r="A60">
        <v>237</v>
      </c>
      <c r="B60" s="5">
        <f>Planilha4!B59</f>
        <v>0</v>
      </c>
      <c r="C60">
        <v>3</v>
      </c>
      <c r="D60" t="s">
        <v>79</v>
      </c>
      <c r="G60">
        <f>INDEX(Planilha4!D2:D38, MATCH(D60, Planilha4!E2:E38, 0))</f>
        <v>36</v>
      </c>
      <c r="H60">
        <f>IFERROR(INDEX(Planilha4!D2:D38, MATCH(F60, Planilha4!E2:E38, 0)),0)</f>
        <v>0</v>
      </c>
    </row>
    <row r="61" spans="1:8" x14ac:dyDescent="0.25">
      <c r="A61">
        <v>239</v>
      </c>
      <c r="B61" s="5">
        <f>Planilha4!B60</f>
        <v>0</v>
      </c>
      <c r="C61">
        <v>30</v>
      </c>
      <c r="D61" t="s">
        <v>106</v>
      </c>
      <c r="G61">
        <f>INDEX(Planilha4!D2:D38, MATCH(D61, Planilha4!E2:E38, 0))</f>
        <v>33</v>
      </c>
      <c r="H61">
        <f>IFERROR(INDEX(Planilha4!D2:D38, MATCH(F61, Planilha4!E2:E38, 0)),0)</f>
        <v>0</v>
      </c>
    </row>
    <row r="62" spans="1:8" x14ac:dyDescent="0.25">
      <c r="A62">
        <v>240</v>
      </c>
      <c r="B62" s="5">
        <f>Planilha4!B61</f>
        <v>0</v>
      </c>
      <c r="C62">
        <v>1000</v>
      </c>
      <c r="D62" t="s">
        <v>107</v>
      </c>
      <c r="G62">
        <f>INDEX(Planilha4!D2:D38, MATCH(D62, Planilha4!E2:E38, 0))</f>
        <v>6</v>
      </c>
      <c r="H62">
        <f>IFERROR(INDEX(Planilha4!D2:D38, MATCH(F62, Planilha4!E2:E38, 0)),0)</f>
        <v>0</v>
      </c>
    </row>
    <row r="63" spans="1:8" x14ac:dyDescent="0.25">
      <c r="A63">
        <v>242</v>
      </c>
      <c r="B63" s="5">
        <f>Planilha4!B62</f>
        <v>0</v>
      </c>
      <c r="C63">
        <v>12000</v>
      </c>
      <c r="D63" t="s">
        <v>80</v>
      </c>
      <c r="G63">
        <f>INDEX(Planilha4!D2:D38, MATCH(D63, Planilha4!E2:E38, 0))</f>
        <v>30</v>
      </c>
      <c r="H63">
        <f>IFERROR(INDEX(Planilha4!D2:D38, MATCH(F63, Planilha4!E2:E38, 0)),0)</f>
        <v>0</v>
      </c>
    </row>
    <row r="64" spans="1:8" x14ac:dyDescent="0.25">
      <c r="A64">
        <v>243</v>
      </c>
      <c r="B64" s="5">
        <f>Planilha4!B63</f>
        <v>0</v>
      </c>
      <c r="C64">
        <v>20</v>
      </c>
      <c r="D64" t="s">
        <v>106</v>
      </c>
      <c r="G64">
        <f>INDEX(Planilha4!D2:D38, MATCH(D64, Planilha4!E2:E38, 0))</f>
        <v>33</v>
      </c>
      <c r="H64">
        <f>IFERROR(INDEX(Planilha4!D2:D38, MATCH(F64, Planilha4!E2:E38, 0)),0)</f>
        <v>0</v>
      </c>
    </row>
    <row r="65" spans="1:8" x14ac:dyDescent="0.25">
      <c r="A65">
        <v>244</v>
      </c>
      <c r="B65" s="5">
        <f>Planilha4!B64</f>
        <v>0</v>
      </c>
      <c r="C65">
        <v>25</v>
      </c>
      <c r="D65" t="s">
        <v>78</v>
      </c>
      <c r="G65">
        <f>INDEX(Planilha4!D2:D38, MATCH(D65, Planilha4!E2:E38, 0))</f>
        <v>35</v>
      </c>
      <c r="H65">
        <f>IFERROR(INDEX(Planilha4!D2:D38, MATCH(F65, Planilha4!E2:E38, 0)),0)</f>
        <v>0</v>
      </c>
    </row>
    <row r="66" spans="1:8" x14ac:dyDescent="0.25">
      <c r="A66">
        <v>248</v>
      </c>
      <c r="B66" s="5">
        <f>Planilha4!B65</f>
        <v>0</v>
      </c>
      <c r="C66">
        <v>16</v>
      </c>
      <c r="D66" t="s">
        <v>83</v>
      </c>
      <c r="G66">
        <f>INDEX(Planilha4!D2:D38, MATCH(D66, Planilha4!E2:E38, 0))</f>
        <v>28</v>
      </c>
      <c r="H66">
        <f>IFERROR(INDEX(Planilha4!D2:D38, MATCH(F66, Planilha4!E2:E38, 0)),0)</f>
        <v>0</v>
      </c>
    </row>
    <row r="67" spans="1:8" x14ac:dyDescent="0.25">
      <c r="A67">
        <v>250</v>
      </c>
      <c r="B67" s="5">
        <f>Planilha4!B66</f>
        <v>0</v>
      </c>
      <c r="C67">
        <v>4000</v>
      </c>
      <c r="D67" t="s">
        <v>80</v>
      </c>
      <c r="G67">
        <f>INDEX(Planilha4!D2:D38, MATCH(D67, Planilha4!E2:E38, 0))</f>
        <v>30</v>
      </c>
      <c r="H67">
        <f>IFERROR(INDEX(Planilha4!D2:D38, MATCH(F67, Planilha4!E2:E38, 0)),0)</f>
        <v>0</v>
      </c>
    </row>
    <row r="68" spans="1:8" x14ac:dyDescent="0.25">
      <c r="A68">
        <v>251</v>
      </c>
      <c r="B68" s="5">
        <f>Planilha4!B67</f>
        <v>0</v>
      </c>
      <c r="C68">
        <v>50</v>
      </c>
      <c r="D68" t="s">
        <v>101</v>
      </c>
      <c r="G68">
        <f>INDEX(Planilha4!D2:D38, MATCH(D68, Planilha4!E2:E38, 0))</f>
        <v>11</v>
      </c>
      <c r="H68">
        <f>IFERROR(INDEX(Planilha4!D2:D38, MATCH(F68, Planilha4!E2:E38, 0)),0)</f>
        <v>0</v>
      </c>
    </row>
    <row r="69" spans="1:8" x14ac:dyDescent="0.25">
      <c r="A69">
        <v>254</v>
      </c>
      <c r="B69" s="5">
        <f>Planilha4!B68</f>
        <v>0</v>
      </c>
      <c r="C69">
        <v>10</v>
      </c>
      <c r="D69" t="s">
        <v>78</v>
      </c>
      <c r="G69">
        <f>INDEX(Planilha4!D2:D38, MATCH(D69, Planilha4!E2:E38, 0))</f>
        <v>35</v>
      </c>
      <c r="H69">
        <f>IFERROR(INDEX(Planilha4!D2:D38, MATCH(F69, Planilha4!E2:E38, 0)),0)</f>
        <v>0</v>
      </c>
    </row>
    <row r="70" spans="1:8" x14ac:dyDescent="0.25">
      <c r="A70">
        <v>255</v>
      </c>
      <c r="B70" s="5">
        <f>Planilha4!B69</f>
        <v>0</v>
      </c>
      <c r="C70">
        <v>3000</v>
      </c>
      <c r="D70" t="s">
        <v>77</v>
      </c>
      <c r="G70">
        <f>INDEX(Planilha4!D2:D38, MATCH(D70, Planilha4!E2:E38, 0))</f>
        <v>31</v>
      </c>
      <c r="H70">
        <f>IFERROR(INDEX(Planilha4!D2:D38, MATCH(F70, Planilha4!E2:E38, 0)),0)</f>
        <v>0</v>
      </c>
    </row>
    <row r="71" spans="1:8" x14ac:dyDescent="0.25">
      <c r="A71">
        <v>257</v>
      </c>
      <c r="B71" s="5">
        <f>Planilha4!B70</f>
        <v>0</v>
      </c>
      <c r="C71">
        <v>40</v>
      </c>
      <c r="D71" t="s">
        <v>106</v>
      </c>
      <c r="G71">
        <f>INDEX(Planilha4!D2:D38, MATCH(D71, Planilha4!E2:E38, 0))</f>
        <v>33</v>
      </c>
      <c r="H71">
        <f>IFERROR(INDEX(Planilha4!D2:D38, MATCH(F71, Planilha4!E2:E38, 0)),0)</f>
        <v>0</v>
      </c>
    </row>
    <row r="72" spans="1:8" x14ac:dyDescent="0.25">
      <c r="A72">
        <v>258</v>
      </c>
      <c r="B72" s="5">
        <f>Planilha4!B71</f>
        <v>0</v>
      </c>
      <c r="C72">
        <v>3</v>
      </c>
      <c r="D72" t="s">
        <v>108</v>
      </c>
      <c r="G72">
        <f>INDEX(Planilha4!D2:D38, MATCH(D72, Planilha4!E2:E38, 0))</f>
        <v>29</v>
      </c>
      <c r="H72">
        <f>IFERROR(INDEX(Planilha4!D2:D38, MATCH(F72, Planilha4!E2:E38, 0)),0)</f>
        <v>0</v>
      </c>
    </row>
    <row r="73" spans="1:8" x14ac:dyDescent="0.25">
      <c r="A73">
        <v>260</v>
      </c>
      <c r="B73" s="5">
        <f>Planilha4!B72</f>
        <v>0</v>
      </c>
      <c r="C73">
        <v>1000</v>
      </c>
      <c r="D73" t="s">
        <v>75</v>
      </c>
      <c r="G73">
        <f>INDEX(Planilha4!D2:D38, MATCH(D73, Planilha4!E2:E38, 0))</f>
        <v>8</v>
      </c>
      <c r="H73">
        <f>IFERROR(INDEX(Planilha4!D2:D38, MATCH(F73, Planilha4!E2:E38, 0)),0)</f>
        <v>0</v>
      </c>
    </row>
    <row r="74" spans="1:8" x14ac:dyDescent="0.25">
      <c r="A74">
        <v>262</v>
      </c>
      <c r="B74" s="5">
        <f>Planilha4!B73</f>
        <v>0</v>
      </c>
      <c r="C74">
        <v>2000</v>
      </c>
      <c r="D74" t="s">
        <v>82</v>
      </c>
      <c r="G74">
        <f>INDEX(Planilha4!D2:D38, MATCH(D74, Planilha4!E2:E38, 0))</f>
        <v>27</v>
      </c>
      <c r="H74">
        <f>IFERROR(INDEX(Planilha4!D2:D38, MATCH(F74, Planilha4!E2:E38, 0)),0)</f>
        <v>0</v>
      </c>
    </row>
    <row r="75" spans="1:8" x14ac:dyDescent="0.25">
      <c r="A75">
        <v>263</v>
      </c>
      <c r="B75" s="5">
        <f>Planilha4!B74</f>
        <v>0</v>
      </c>
      <c r="C75">
        <v>5</v>
      </c>
      <c r="D75" t="s">
        <v>79</v>
      </c>
      <c r="G75">
        <f>INDEX(Planilha4!D2:D38, MATCH(D75, Planilha4!E2:E38, 0))</f>
        <v>36</v>
      </c>
      <c r="H75">
        <f>IFERROR(INDEX(Planilha4!D2:D38, MATCH(F75, Planilha4!E2:E38, 0)),0)</f>
        <v>0</v>
      </c>
    </row>
    <row r="76" spans="1:8" x14ac:dyDescent="0.25">
      <c r="A76">
        <v>264</v>
      </c>
      <c r="B76" s="5">
        <f>Planilha4!B75</f>
        <v>0</v>
      </c>
      <c r="C76">
        <v>3000</v>
      </c>
      <c r="D76" t="s">
        <v>75</v>
      </c>
      <c r="G76">
        <f>INDEX(Planilha4!D2:D38, MATCH(D76, Planilha4!E2:E38, 0))</f>
        <v>8</v>
      </c>
      <c r="H76">
        <f>IFERROR(INDEX(Planilha4!D2:D38, MATCH(F76, Planilha4!E2:E38, 0)),0)</f>
        <v>0</v>
      </c>
    </row>
    <row r="77" spans="1:8" x14ac:dyDescent="0.25">
      <c r="A77">
        <v>265</v>
      </c>
      <c r="B77" s="5">
        <f>Planilha4!B76</f>
        <v>0</v>
      </c>
      <c r="C77">
        <v>3</v>
      </c>
      <c r="D77" t="s">
        <v>79</v>
      </c>
      <c r="G77">
        <f>INDEX(Planilha4!D2:D38, MATCH(D77, Planilha4!E2:E38, 0))</f>
        <v>36</v>
      </c>
      <c r="H77">
        <f>IFERROR(INDEX(Planilha4!D2:D38, MATCH(F77, Planilha4!E2:E38, 0)),0)</f>
        <v>0</v>
      </c>
    </row>
    <row r="78" spans="1:8" x14ac:dyDescent="0.25">
      <c r="A78">
        <v>266</v>
      </c>
      <c r="B78" s="5">
        <f>Planilha4!B77</f>
        <v>0</v>
      </c>
      <c r="C78">
        <v>2000</v>
      </c>
      <c r="D78" t="s">
        <v>75</v>
      </c>
      <c r="G78">
        <f>INDEX(Planilha4!D2:D38, MATCH(D78, Planilha4!E2:E38, 0))</f>
        <v>8</v>
      </c>
      <c r="H78">
        <f>IFERROR(INDEX(Planilha4!D2:D38, MATCH(F78, Planilha4!E2:E38, 0)),0)</f>
        <v>0</v>
      </c>
    </row>
    <row r="79" spans="1:8" x14ac:dyDescent="0.25">
      <c r="A79">
        <v>267</v>
      </c>
      <c r="B79" s="5">
        <f>Planilha4!B78</f>
        <v>0</v>
      </c>
      <c r="C79">
        <v>12</v>
      </c>
      <c r="D79" t="s">
        <v>81</v>
      </c>
      <c r="G79">
        <f>INDEX(Planilha4!D2:D38, MATCH(D79, Planilha4!E2:E38, 0))</f>
        <v>32</v>
      </c>
      <c r="H79">
        <f>IFERROR(INDEX(Planilha4!D2:D38, MATCH(F79, Planilha4!E2:E38, 0)),0)</f>
        <v>0</v>
      </c>
    </row>
    <row r="80" spans="1:8" x14ac:dyDescent="0.25">
      <c r="A80">
        <v>269</v>
      </c>
      <c r="B80" s="5">
        <f>Planilha4!B79</f>
        <v>0</v>
      </c>
      <c r="C80">
        <v>4500</v>
      </c>
      <c r="D80" t="s">
        <v>77</v>
      </c>
      <c r="G80">
        <f>INDEX(Planilha4!D2:D38, MATCH(D80, Planilha4!E2:E38, 0))</f>
        <v>31</v>
      </c>
      <c r="H80">
        <f>IFERROR(INDEX(Planilha4!D2:D38, MATCH(F80, Planilha4!E2:E38, 0)),0)</f>
        <v>0</v>
      </c>
    </row>
    <row r="81" spans="1:8" x14ac:dyDescent="0.25">
      <c r="A81">
        <v>270</v>
      </c>
      <c r="B81" s="5">
        <f>Planilha4!B80</f>
        <v>0</v>
      </c>
      <c r="C81">
        <v>30</v>
      </c>
      <c r="D81" t="s">
        <v>105</v>
      </c>
      <c r="G81">
        <f>INDEX(Planilha4!D2:D38, MATCH(D81, Planilha4!E2:E38, 0))</f>
        <v>2</v>
      </c>
      <c r="H81">
        <f>IFERROR(INDEX(Planilha4!D2:D38, MATCH(F81, Planilha4!E2:E38, 0)),0)</f>
        <v>0</v>
      </c>
    </row>
    <row r="82" spans="1:8" x14ac:dyDescent="0.25">
      <c r="A82">
        <v>271</v>
      </c>
      <c r="B82" s="5">
        <f>Planilha4!B81</f>
        <v>0</v>
      </c>
      <c r="C82">
        <v>50</v>
      </c>
      <c r="D82" t="s">
        <v>109</v>
      </c>
      <c r="G82">
        <f>INDEX(Planilha4!D2:D38, MATCH(D82, Planilha4!E2:E38, 0))</f>
        <v>13</v>
      </c>
      <c r="H82">
        <f>IFERROR(INDEX(Planilha4!D2:D38, MATCH(F82, Planilha4!E2:E38, 0)),0)</f>
        <v>0</v>
      </c>
    </row>
    <row r="83" spans="1:8" x14ac:dyDescent="0.25">
      <c r="A83">
        <v>275</v>
      </c>
      <c r="B83" s="5">
        <f>Planilha4!B82</f>
        <v>0</v>
      </c>
      <c r="C83">
        <v>75</v>
      </c>
      <c r="D83" t="s">
        <v>94</v>
      </c>
      <c r="G83">
        <f>INDEX(Planilha4!D2:D38, MATCH(D83, Planilha4!E2:E38, 0))</f>
        <v>12</v>
      </c>
      <c r="H83">
        <f>IFERROR(INDEX(Planilha4!D2:D38, MATCH(F83, Planilha4!E2:E38, 0)),0)</f>
        <v>0</v>
      </c>
    </row>
    <row r="84" spans="1:8" x14ac:dyDescent="0.25">
      <c r="A84">
        <v>276</v>
      </c>
      <c r="B84" s="5">
        <f>Planilha4!B83</f>
        <v>0</v>
      </c>
      <c r="C84">
        <v>30</v>
      </c>
      <c r="D84" t="s">
        <v>103</v>
      </c>
      <c r="G84">
        <f>INDEX(Planilha4!D2:D38, MATCH(D84, Planilha4!E2:E38, 0))</f>
        <v>16</v>
      </c>
      <c r="H84">
        <f>IFERROR(INDEX(Planilha4!D2:D38, MATCH(F84, Planilha4!E2:E38, 0)),0)</f>
        <v>0</v>
      </c>
    </row>
    <row r="85" spans="1:8" x14ac:dyDescent="0.25">
      <c r="A85">
        <v>278</v>
      </c>
      <c r="B85" s="5">
        <f>Planilha4!B84</f>
        <v>0</v>
      </c>
      <c r="C85">
        <v>3000</v>
      </c>
      <c r="D85" t="s">
        <v>89</v>
      </c>
      <c r="G85">
        <f>INDEX(Planilha4!D2:D38, MATCH(D85, Planilha4!E2:E38, 0))</f>
        <v>5</v>
      </c>
      <c r="H85">
        <f>IFERROR(INDEX(Planilha4!D2:D38, MATCH(F85, Planilha4!E2:E38, 0)),0)</f>
        <v>0</v>
      </c>
    </row>
    <row r="86" spans="1:8" x14ac:dyDescent="0.25">
      <c r="A86">
        <v>279</v>
      </c>
      <c r="B86" s="5">
        <f>Planilha4!B85</f>
        <v>0</v>
      </c>
      <c r="C86">
        <v>3000</v>
      </c>
      <c r="D86" t="s">
        <v>107</v>
      </c>
      <c r="G86">
        <f>INDEX(Planilha4!D2:D38, MATCH(D86, Planilha4!E2:E38, 0))</f>
        <v>6</v>
      </c>
      <c r="H86">
        <f>IFERROR(INDEX(Planilha4!D2:D38, MATCH(F86, Planilha4!E2:E38, 0)),0)</f>
        <v>0</v>
      </c>
    </row>
    <row r="87" spans="1:8" x14ac:dyDescent="0.25">
      <c r="A87">
        <v>281</v>
      </c>
      <c r="B87" s="5">
        <f>Planilha4!B86</f>
        <v>0</v>
      </c>
      <c r="C87">
        <v>60</v>
      </c>
      <c r="D87" t="s">
        <v>86</v>
      </c>
      <c r="E87">
        <v>10000</v>
      </c>
      <c r="F87" t="s">
        <v>87</v>
      </c>
      <c r="G87">
        <f>INDEX(Planilha4!D2:D38, MATCH(D87, Planilha4!E2:E38, 0))</f>
        <v>14</v>
      </c>
      <c r="H87">
        <f>IFERROR(INDEX(Planilha4!D2:D38, MATCH(F87, Planilha4!E2:E38, 0)),0)</f>
        <v>4</v>
      </c>
    </row>
    <row r="88" spans="1:8" x14ac:dyDescent="0.25">
      <c r="A88">
        <v>282</v>
      </c>
      <c r="B88" s="5">
        <f>Planilha4!B87</f>
        <v>0</v>
      </c>
      <c r="C88">
        <v>3000000</v>
      </c>
      <c r="D88" t="s">
        <v>95</v>
      </c>
      <c r="G88">
        <f>INDEX(Planilha4!D2:D38, MATCH(D88, Planilha4!E2:E38, 0))</f>
        <v>3</v>
      </c>
      <c r="H88">
        <f>IFERROR(INDEX(Planilha4!D2:D38, MATCH(F88, Planilha4!E2:E38, 0)),0)</f>
        <v>0</v>
      </c>
    </row>
    <row r="89" spans="1:8" x14ac:dyDescent="0.25">
      <c r="A89">
        <v>285</v>
      </c>
      <c r="B89" s="5">
        <f>Planilha4!B88</f>
        <v>0</v>
      </c>
      <c r="C89">
        <v>15</v>
      </c>
      <c r="D89" t="s">
        <v>103</v>
      </c>
      <c r="G89">
        <f>INDEX(Planilha4!D2:D38, MATCH(D89, Planilha4!E2:E38, 0))</f>
        <v>16</v>
      </c>
      <c r="H89">
        <f>IFERROR(INDEX(Planilha4!D2:D38, MATCH(F89, Planilha4!E2:E38, 0)),0)</f>
        <v>0</v>
      </c>
    </row>
    <row r="90" spans="1:8" x14ac:dyDescent="0.25">
      <c r="A90">
        <v>286</v>
      </c>
      <c r="B90" s="5">
        <f>Planilha4!B89</f>
        <v>0</v>
      </c>
      <c r="C90">
        <v>75</v>
      </c>
      <c r="D90" t="s">
        <v>101</v>
      </c>
      <c r="G90">
        <f>INDEX(Planilha4!D2:D38, MATCH(D90, Planilha4!E2:E38, 0))</f>
        <v>11</v>
      </c>
      <c r="H90">
        <f>IFERROR(INDEX(Planilha4!D2:D38, MATCH(F90, Planilha4!E2:E38, 0)),0)</f>
        <v>0</v>
      </c>
    </row>
    <row r="91" spans="1:8" x14ac:dyDescent="0.25">
      <c r="A91">
        <v>290</v>
      </c>
      <c r="B91" s="5">
        <f>Planilha4!B90</f>
        <v>0</v>
      </c>
      <c r="C91">
        <v>10</v>
      </c>
      <c r="D91" t="s">
        <v>104</v>
      </c>
      <c r="G91">
        <f>INDEX(Planilha4!D2:D38, MATCH(D91, Planilha4!E2:E38, 0))</f>
        <v>10</v>
      </c>
      <c r="H91">
        <f>IFERROR(INDEX(Planilha4!D2:D38, MATCH(F91, Planilha4!E2:E38, 0)),0)</f>
        <v>0</v>
      </c>
    </row>
    <row r="92" spans="1:8" x14ac:dyDescent="0.25">
      <c r="A92">
        <v>291</v>
      </c>
      <c r="B92" s="5">
        <f>Planilha4!B91</f>
        <v>0</v>
      </c>
      <c r="C92">
        <v>300</v>
      </c>
      <c r="D92" t="s">
        <v>92</v>
      </c>
      <c r="G92">
        <f>INDEX(Planilha4!D2:D38, MATCH(D92, Planilha4!E2:E38, 0))</f>
        <v>26</v>
      </c>
      <c r="H92">
        <f>IFERROR(INDEX(Planilha4!D2:D38, MATCH(F92, Planilha4!E2:E38, 0)),0)</f>
        <v>0</v>
      </c>
    </row>
    <row r="93" spans="1:8" x14ac:dyDescent="0.25">
      <c r="A93">
        <v>292</v>
      </c>
      <c r="B93" s="5">
        <f>Planilha4!B92</f>
        <v>0</v>
      </c>
      <c r="C93">
        <v>2000</v>
      </c>
      <c r="D93" t="s">
        <v>89</v>
      </c>
      <c r="G93">
        <f>INDEX(Planilha4!D2:D38, MATCH(D93, Planilha4!E2:E38, 0))</f>
        <v>5</v>
      </c>
      <c r="H93">
        <f>IFERROR(INDEX(Planilha4!D2:D38, MATCH(F93, Planilha4!E2:E38, 0)),0)</f>
        <v>0</v>
      </c>
    </row>
    <row r="94" spans="1:8" x14ac:dyDescent="0.25">
      <c r="A94">
        <v>293</v>
      </c>
      <c r="B94" s="5">
        <f>Planilha4!B93</f>
        <v>0</v>
      </c>
      <c r="C94">
        <v>500</v>
      </c>
      <c r="D94" t="s">
        <v>85</v>
      </c>
      <c r="G94">
        <f>INDEX(Planilha4!D2:D38, MATCH(D94, Planilha4!E2:E38, 0))</f>
        <v>24</v>
      </c>
      <c r="H94">
        <f>IFERROR(INDEX(Planilha4!D2:D38, MATCH(F94, Planilha4!E2:E38, 0)),0)</f>
        <v>0</v>
      </c>
    </row>
    <row r="95" spans="1:8" x14ac:dyDescent="0.25">
      <c r="A95">
        <v>294</v>
      </c>
      <c r="B95" s="5">
        <f>Planilha4!B94</f>
        <v>0</v>
      </c>
      <c r="C95">
        <v>70</v>
      </c>
      <c r="D95" t="s">
        <v>93</v>
      </c>
      <c r="G95">
        <f>INDEX(Planilha4!D2:D38, MATCH(D95, Planilha4!E2:E38, 0))</f>
        <v>19</v>
      </c>
      <c r="H95">
        <f>IFERROR(INDEX(Planilha4!D2:D38, MATCH(F95, Planilha4!E2:E38, 0)),0)</f>
        <v>0</v>
      </c>
    </row>
    <row r="96" spans="1:8" x14ac:dyDescent="0.25">
      <c r="A96">
        <v>295</v>
      </c>
      <c r="B96" s="5">
        <f>Planilha4!B95</f>
        <v>0</v>
      </c>
      <c r="C96">
        <v>15</v>
      </c>
      <c r="D96" t="s">
        <v>96</v>
      </c>
      <c r="G96">
        <f>INDEX(Planilha4!D2:D38, MATCH(D96, Planilha4!E2:E38, 0))</f>
        <v>17</v>
      </c>
      <c r="H96">
        <f>IFERROR(INDEX(Planilha4!D2:D38, MATCH(F96, Planilha4!E2:E38, 0)),0)</f>
        <v>0</v>
      </c>
    </row>
    <row r="97" spans="1:8" x14ac:dyDescent="0.25">
      <c r="A97">
        <v>297</v>
      </c>
      <c r="B97" s="5">
        <f>Planilha4!B96</f>
        <v>0</v>
      </c>
      <c r="C97">
        <v>25</v>
      </c>
      <c r="D97" t="s">
        <v>109</v>
      </c>
      <c r="G97">
        <f>INDEX(Planilha4!D2:D38, MATCH(D97, Planilha4!E2:E38, 0))</f>
        <v>13</v>
      </c>
      <c r="H97">
        <f>IFERROR(INDEX(Planilha4!D2:D38, MATCH(F97, Planilha4!E2:E38, 0)),0)</f>
        <v>0</v>
      </c>
    </row>
    <row r="98" spans="1:8" x14ac:dyDescent="0.25">
      <c r="A98">
        <v>298</v>
      </c>
      <c r="B98" s="5">
        <f>Planilha4!B97</f>
        <v>0</v>
      </c>
      <c r="C98">
        <v>3000</v>
      </c>
      <c r="D98" t="s">
        <v>100</v>
      </c>
      <c r="G98">
        <f>INDEX(Planilha4!D2:D38, MATCH(D98, Planilha4!E2:E38, 0))</f>
        <v>7</v>
      </c>
      <c r="H98">
        <f>IFERROR(INDEX(Planilha4!D2:D38, MATCH(F98, Planilha4!E2:E38, 0)),0)</f>
        <v>0</v>
      </c>
    </row>
    <row r="99" spans="1:8" x14ac:dyDescent="0.25">
      <c r="A99">
        <v>299</v>
      </c>
      <c r="B99" s="5">
        <f>Planilha4!B98</f>
        <v>0</v>
      </c>
      <c r="C99">
        <v>2000</v>
      </c>
      <c r="D99" t="s">
        <v>107</v>
      </c>
      <c r="G99">
        <f>INDEX(Planilha4!D2:D38, MATCH(D99, Planilha4!E2:E38, 0))</f>
        <v>6</v>
      </c>
      <c r="H99">
        <f>IFERROR(INDEX(Planilha4!D2:D38, MATCH(F99, Planilha4!E2:E38, 0)),0)</f>
        <v>0</v>
      </c>
    </row>
    <row r="100" spans="1:8" x14ac:dyDescent="0.25">
      <c r="A100">
        <v>300</v>
      </c>
      <c r="B100" s="5">
        <f>Planilha4!B99</f>
        <v>0</v>
      </c>
      <c r="C100">
        <v>15</v>
      </c>
      <c r="D100" t="s">
        <v>104</v>
      </c>
      <c r="G100">
        <f>INDEX(Planilha4!D2:D38, MATCH(D100, Planilha4!E2:E38, 0))</f>
        <v>10</v>
      </c>
      <c r="H100">
        <f>IFERROR(INDEX(Planilha4!D2:D38, MATCH(F100, Planilha4!E2:E38, 0)),0)</f>
        <v>0</v>
      </c>
    </row>
    <row r="101" spans="1:8" x14ac:dyDescent="0.25">
      <c r="A101">
        <v>302</v>
      </c>
      <c r="B101" s="5">
        <f>Planilha4!B100</f>
        <v>0</v>
      </c>
      <c r="C101">
        <v>100</v>
      </c>
      <c r="D101" t="s">
        <v>98</v>
      </c>
      <c r="G101">
        <f>INDEX(Planilha4!D2:D38, MATCH(D101, Planilha4!E2:E38, 0))</f>
        <v>22</v>
      </c>
      <c r="H101">
        <f>IFERROR(INDEX(Planilha4!D2:D38, MATCH(F101, Planilha4!E2:E38, 0)),0)</f>
        <v>0</v>
      </c>
    </row>
    <row r="102" spans="1:8" x14ac:dyDescent="0.25">
      <c r="A102">
        <v>304</v>
      </c>
      <c r="B102" s="5">
        <f>Planilha4!B101</f>
        <v>0</v>
      </c>
      <c r="C102">
        <v>25</v>
      </c>
      <c r="D102" t="s">
        <v>74</v>
      </c>
      <c r="G102">
        <f>INDEX(Planilha4!D2:D38, MATCH(D102, Planilha4!E2:E38, 0))</f>
        <v>23</v>
      </c>
      <c r="H102">
        <f>IFERROR(INDEX(Planilha4!D2:D38, MATCH(F102, Planilha4!E2:E38, 0)),0)</f>
        <v>0</v>
      </c>
    </row>
    <row r="103" spans="1:8" x14ac:dyDescent="0.25">
      <c r="A103">
        <v>305</v>
      </c>
      <c r="B103" s="5">
        <f>Planilha4!B102</f>
        <v>0</v>
      </c>
      <c r="C103">
        <v>75</v>
      </c>
      <c r="D103" t="s">
        <v>109</v>
      </c>
      <c r="G103">
        <f>INDEX(Planilha4!D2:D38, MATCH(D103, Planilha4!E2:E38, 0))</f>
        <v>13</v>
      </c>
      <c r="H103">
        <f>IFERROR(INDEX(Planilha4!D2:D38, MATCH(F103, Planilha4!E2:E38, 0)),0)</f>
        <v>0</v>
      </c>
    </row>
    <row r="104" spans="1:8" x14ac:dyDescent="0.25">
      <c r="A104">
        <v>306</v>
      </c>
      <c r="B104" s="5">
        <f>Planilha4!B103</f>
        <v>0</v>
      </c>
      <c r="C104">
        <v>40</v>
      </c>
      <c r="D104" t="s">
        <v>97</v>
      </c>
      <c r="G104">
        <f>INDEX(Planilha4!D2:D38, MATCH(D104, Planilha4!E2:E38, 0))</f>
        <v>20</v>
      </c>
      <c r="H104">
        <f>IFERROR(INDEX(Planilha4!D2:D38, MATCH(F104, Planilha4!E2:E38, 0)),0)</f>
        <v>0</v>
      </c>
    </row>
    <row r="105" spans="1:8" x14ac:dyDescent="0.25">
      <c r="A105">
        <v>308</v>
      </c>
      <c r="B105" s="5">
        <f>Planilha4!B104</f>
        <v>0</v>
      </c>
      <c r="C105">
        <v>5</v>
      </c>
      <c r="D105" t="s">
        <v>102</v>
      </c>
      <c r="G105">
        <f>INDEX(Planilha4!D2:D38, MATCH(D105, Planilha4!E2:E38, 0))</f>
        <v>15</v>
      </c>
      <c r="H105">
        <f>IFERROR(INDEX(Planilha4!D2:D38, MATCH(F105, Planilha4!E2:E38, 0)),0)</f>
        <v>0</v>
      </c>
    </row>
    <row r="106" spans="1:8" x14ac:dyDescent="0.25">
      <c r="A106">
        <v>309</v>
      </c>
      <c r="B106" s="5">
        <f>Planilha4!B105</f>
        <v>0</v>
      </c>
      <c r="C106">
        <v>60</v>
      </c>
      <c r="D106" t="s">
        <v>105</v>
      </c>
      <c r="G106">
        <f>INDEX(Planilha4!D2:D38, MATCH(D106, Planilha4!E2:E38, 0))</f>
        <v>2</v>
      </c>
      <c r="H106">
        <f>IFERROR(INDEX(Planilha4!D2:D38, MATCH(F106, Planilha4!E2:E38, 0)),0)</f>
        <v>0</v>
      </c>
    </row>
    <row r="107" spans="1:8" x14ac:dyDescent="0.25">
      <c r="A107">
        <v>316</v>
      </c>
      <c r="B107" s="5">
        <f>Planilha4!B106</f>
        <v>0</v>
      </c>
      <c r="C107">
        <v>4000</v>
      </c>
      <c r="D107" t="s">
        <v>82</v>
      </c>
      <c r="G107">
        <f>INDEX(Planilha4!D2:D38, MATCH(D107, Planilha4!E2:E38, 0))</f>
        <v>27</v>
      </c>
      <c r="H107">
        <f>IFERROR(INDEX(Planilha4!D2:D38, MATCH(F107, Planilha4!E2:E38, 0)),0)</f>
        <v>0</v>
      </c>
    </row>
    <row r="108" spans="1:8" x14ac:dyDescent="0.25">
      <c r="A108">
        <v>318</v>
      </c>
      <c r="B108" s="5">
        <f>Planilha4!B107</f>
        <v>0</v>
      </c>
      <c r="C108">
        <v>30</v>
      </c>
      <c r="D108" t="s">
        <v>106</v>
      </c>
      <c r="G108">
        <f>INDEX(Planilha4!D2:D38, MATCH(D108, Planilha4!E2:E38, 0))</f>
        <v>33</v>
      </c>
      <c r="H108">
        <f>IFERROR(INDEX(Planilha4!D2:D38, MATCH(F108, Planilha4!E2:E38, 0)),0)</f>
        <v>0</v>
      </c>
    </row>
    <row r="109" spans="1:8" x14ac:dyDescent="0.25">
      <c r="A109">
        <v>319</v>
      </c>
      <c r="B109" s="5">
        <f>Planilha4!B108</f>
        <v>0</v>
      </c>
      <c r="C109">
        <v>4000</v>
      </c>
      <c r="D109" t="s">
        <v>80</v>
      </c>
      <c r="G109">
        <f>INDEX(Planilha4!D2:D38, MATCH(D109, Planilha4!E2:E38, 0))</f>
        <v>30</v>
      </c>
      <c r="H109">
        <f>IFERROR(INDEX(Planilha4!D2:D38, MATCH(F109, Planilha4!E2:E38, 0)),0)</f>
        <v>0</v>
      </c>
    </row>
    <row r="110" spans="1:8" x14ac:dyDescent="0.25">
      <c r="A110">
        <v>321</v>
      </c>
      <c r="B110" s="5">
        <f>Planilha4!B109</f>
        <v>0</v>
      </c>
      <c r="C110">
        <v>15</v>
      </c>
      <c r="D110" t="s">
        <v>78</v>
      </c>
      <c r="G110">
        <f>INDEX(Planilha4!D2:D38, MATCH(D110, Planilha4!E2:E38, 0))</f>
        <v>35</v>
      </c>
      <c r="H110">
        <f>IFERROR(INDEX(Planilha4!D2:D38, MATCH(F110, Planilha4!E2:E38, 0)),0)</f>
        <v>0</v>
      </c>
    </row>
    <row r="111" spans="1:8" x14ac:dyDescent="0.25">
      <c r="A111">
        <v>325</v>
      </c>
      <c r="B111" s="5">
        <f>Planilha4!B110</f>
        <v>0</v>
      </c>
      <c r="C111">
        <v>9</v>
      </c>
      <c r="D111" t="s">
        <v>108</v>
      </c>
      <c r="G111">
        <f>INDEX(Planilha4!D2:D38, MATCH(D111, Planilha4!E2:E38, 0))</f>
        <v>29</v>
      </c>
      <c r="H111">
        <f>IFERROR(INDEX(Planilha4!D2:D38, MATCH(F111, Planilha4!E2:E38, 0)),0)</f>
        <v>0</v>
      </c>
    </row>
    <row r="112" spans="1:8" x14ac:dyDescent="0.25">
      <c r="A112">
        <v>326</v>
      </c>
      <c r="B112" s="5">
        <f>Planilha4!B111</f>
        <v>0</v>
      </c>
      <c r="C112">
        <v>8</v>
      </c>
      <c r="D112" t="s">
        <v>83</v>
      </c>
      <c r="G112">
        <f>INDEX(Planilha4!D2:D38, MATCH(D112, Planilha4!E2:E38, 0))</f>
        <v>28</v>
      </c>
      <c r="H112">
        <f>IFERROR(INDEX(Planilha4!D2:D38, MATCH(F112, Planilha4!E2:E38, 0)),0)</f>
        <v>0</v>
      </c>
    </row>
    <row r="113" spans="1:8" x14ac:dyDescent="0.25">
      <c r="A113">
        <v>327</v>
      </c>
      <c r="B113" s="5">
        <f>Planilha4!B112</f>
        <v>0</v>
      </c>
      <c r="C113">
        <v>8000</v>
      </c>
      <c r="D113" t="s">
        <v>80</v>
      </c>
      <c r="G113">
        <f>INDEX(Planilha4!D2:D38, MATCH(D113, Planilha4!E2:E38, 0))</f>
        <v>30</v>
      </c>
      <c r="H113">
        <f>IFERROR(INDEX(Planilha4!D2:D38, MATCH(F113, Planilha4!E2:E38, 0)),0)</f>
        <v>0</v>
      </c>
    </row>
    <row r="114" spans="1:8" x14ac:dyDescent="0.25">
      <c r="A114">
        <v>328</v>
      </c>
      <c r="B114" s="5">
        <f>Planilha4!B113</f>
        <v>0</v>
      </c>
      <c r="C114">
        <v>20</v>
      </c>
      <c r="D114" t="s">
        <v>76</v>
      </c>
      <c r="G114">
        <f>INDEX(Planilha4!D2:D38, MATCH(D114, Planilha4!E2:E38, 0))</f>
        <v>34</v>
      </c>
      <c r="H114">
        <f>IFERROR(INDEX(Planilha4!D2:D38, MATCH(F114, Planilha4!E2:E38, 0)),0)</f>
        <v>0</v>
      </c>
    </row>
    <row r="115" spans="1:8" x14ac:dyDescent="0.25">
      <c r="A115">
        <v>329</v>
      </c>
      <c r="B115" s="5">
        <f>Planilha4!B114</f>
        <v>0</v>
      </c>
      <c r="C115">
        <v>7</v>
      </c>
      <c r="D115" t="s">
        <v>79</v>
      </c>
      <c r="G115">
        <f>INDEX(Planilha4!D2:D38, MATCH(D115, Planilha4!E2:E38, 0))</f>
        <v>36</v>
      </c>
      <c r="H115">
        <f>IFERROR(INDEX(Planilha4!D2:D38, MATCH(F115, Planilha4!E2:E38, 0)),0)</f>
        <v>0</v>
      </c>
    </row>
    <row r="116" spans="1:8" x14ac:dyDescent="0.25">
      <c r="A116">
        <v>332</v>
      </c>
      <c r="B116" s="5">
        <f>Planilha4!B115</f>
        <v>0</v>
      </c>
      <c r="C116">
        <v>2000</v>
      </c>
      <c r="D116" t="s">
        <v>75</v>
      </c>
      <c r="G116">
        <f>INDEX(Planilha4!D2:D38, MATCH(D116, Planilha4!E2:E38, 0))</f>
        <v>8</v>
      </c>
      <c r="H116">
        <f>IFERROR(INDEX(Planilha4!D2:D38, MATCH(F116, Planilha4!E2:E38, 0)),0)</f>
        <v>0</v>
      </c>
    </row>
    <row r="117" spans="1:8" x14ac:dyDescent="0.25">
      <c r="A117">
        <v>333</v>
      </c>
      <c r="B117" s="5">
        <f>Planilha4!B116</f>
        <v>0</v>
      </c>
      <c r="C117">
        <v>24</v>
      </c>
      <c r="D117" t="s">
        <v>83</v>
      </c>
      <c r="G117">
        <f>INDEX(Planilha4!D2:D38, MATCH(D117, Planilha4!E2:E38, 0))</f>
        <v>28</v>
      </c>
      <c r="H117">
        <f>IFERROR(INDEX(Planilha4!D2:D38, MATCH(F117, Planilha4!E2:E38, 0)),0)</f>
        <v>0</v>
      </c>
    </row>
    <row r="118" spans="1:8" x14ac:dyDescent="0.25">
      <c r="A118">
        <v>335</v>
      </c>
      <c r="B118" s="5">
        <f>Planilha4!B117</f>
        <v>0</v>
      </c>
      <c r="C118">
        <v>300</v>
      </c>
      <c r="D118" t="s">
        <v>83</v>
      </c>
      <c r="E118">
        <v>10000</v>
      </c>
      <c r="F118" t="s">
        <v>87</v>
      </c>
      <c r="G118">
        <f>INDEX(Planilha4!D2:D38, MATCH(D118, Planilha4!E2:E38, 0))</f>
        <v>28</v>
      </c>
      <c r="H118">
        <f>IFERROR(INDEX(Planilha4!D2:D38, MATCH(F118, Planilha4!E2:E38, 0)),0)</f>
        <v>4</v>
      </c>
    </row>
    <row r="119" spans="1:8" x14ac:dyDescent="0.25">
      <c r="A119">
        <v>340</v>
      </c>
      <c r="B119" s="5">
        <f>Planilha4!B118</f>
        <v>0</v>
      </c>
      <c r="C119">
        <v>6000</v>
      </c>
      <c r="D119" t="s">
        <v>82</v>
      </c>
      <c r="G119">
        <f>INDEX(Planilha4!D2:D38, MATCH(D119, Planilha4!E2:E38, 0))</f>
        <v>27</v>
      </c>
      <c r="H119">
        <f>IFERROR(INDEX(Planilha4!D2:D38, MATCH(F119, Planilha4!E2:E38, 0)),0)</f>
        <v>0</v>
      </c>
    </row>
    <row r="120" spans="1:8" x14ac:dyDescent="0.25">
      <c r="A120">
        <v>341</v>
      </c>
      <c r="B120" s="5">
        <f>Planilha4!B119</f>
        <v>0</v>
      </c>
      <c r="C120">
        <v>8</v>
      </c>
      <c r="D120" t="s">
        <v>81</v>
      </c>
      <c r="G120">
        <f>INDEX(Planilha4!D2:D38, MATCH(D120, Planilha4!E2:E38, 0))</f>
        <v>32</v>
      </c>
      <c r="H120">
        <f>IFERROR(INDEX(Planilha4!D2:D38, MATCH(F120, Planilha4!E2:E38, 0)),0)</f>
        <v>0</v>
      </c>
    </row>
    <row r="121" spans="1:8" x14ac:dyDescent="0.25">
      <c r="A121">
        <v>342</v>
      </c>
      <c r="B121" s="5">
        <f>Planilha4!B120</f>
        <v>0</v>
      </c>
      <c r="C121">
        <v>40</v>
      </c>
      <c r="D121" t="s">
        <v>76</v>
      </c>
      <c r="G121">
        <f>INDEX(Planilha4!D2:D38, MATCH(D121, Planilha4!E2:E38, 0))</f>
        <v>34</v>
      </c>
      <c r="H121">
        <f>IFERROR(INDEX(Planilha4!D2:D38, MATCH(F121, Planilha4!E2:E38, 0)),0)</f>
        <v>0</v>
      </c>
    </row>
    <row r="122" spans="1:8" x14ac:dyDescent="0.25">
      <c r="A122">
        <v>343</v>
      </c>
      <c r="B122" s="5">
        <f>Planilha4!B121</f>
        <v>0</v>
      </c>
      <c r="C122">
        <v>4500</v>
      </c>
      <c r="D122" t="s">
        <v>77</v>
      </c>
      <c r="G122">
        <f>INDEX(Planilha4!D2:D38, MATCH(D122, Planilha4!E2:E38, 0))</f>
        <v>31</v>
      </c>
      <c r="H122">
        <f>IFERROR(INDEX(Planilha4!D2:D38, MATCH(F122, Planilha4!E2:E38, 0)),0)</f>
        <v>0</v>
      </c>
    </row>
    <row r="123" spans="1:8" x14ac:dyDescent="0.25">
      <c r="A123">
        <v>345</v>
      </c>
      <c r="B123" s="5">
        <f>Planilha4!B122</f>
        <v>0</v>
      </c>
      <c r="C123">
        <v>12000</v>
      </c>
      <c r="D123" t="s">
        <v>80</v>
      </c>
      <c r="G123">
        <f>INDEX(Planilha4!D2:D38, MATCH(D123, Planilha4!E2:E38, 0))</f>
        <v>30</v>
      </c>
      <c r="H123">
        <f>IFERROR(INDEX(Planilha4!D2:D38, MATCH(F123, Planilha4!E2:E38, 0)),0)</f>
        <v>0</v>
      </c>
    </row>
    <row r="124" spans="1:8" x14ac:dyDescent="0.25">
      <c r="A124">
        <v>346</v>
      </c>
      <c r="B124" s="5">
        <f>Planilha4!B123</f>
        <v>0</v>
      </c>
      <c r="C124">
        <v>10</v>
      </c>
      <c r="D124" t="s">
        <v>78</v>
      </c>
      <c r="G124">
        <f>INDEX(Planilha4!D2:D38, MATCH(D124, Planilha4!E2:E38, 0))</f>
        <v>35</v>
      </c>
      <c r="H124">
        <f>IFERROR(INDEX(Planilha4!D2:D38, MATCH(F124, Planilha4!E2:E38, 0)),0)</f>
        <v>0</v>
      </c>
    </row>
    <row r="125" spans="1:8" x14ac:dyDescent="0.25">
      <c r="A125">
        <v>347</v>
      </c>
      <c r="B125" s="5">
        <f>Planilha4!B124</f>
        <v>0</v>
      </c>
      <c r="C125">
        <v>7</v>
      </c>
      <c r="D125" t="s">
        <v>79</v>
      </c>
      <c r="G125">
        <f>INDEX(Planilha4!D2:D38, MATCH(D125, Planilha4!E2:E38, 0))</f>
        <v>36</v>
      </c>
      <c r="H125">
        <f>IFERROR(INDEX(Planilha4!D2:D38, MATCH(F125, Planilha4!E2:E38, 0)),0)</f>
        <v>0</v>
      </c>
    </row>
    <row r="126" spans="1:8" x14ac:dyDescent="0.25">
      <c r="A126">
        <v>348</v>
      </c>
      <c r="B126" s="5">
        <f>Planilha4!B125</f>
        <v>0</v>
      </c>
      <c r="C126">
        <v>25</v>
      </c>
      <c r="D126" t="s">
        <v>78</v>
      </c>
      <c r="G126">
        <f>INDEX(Planilha4!D2:D38, MATCH(D126, Planilha4!E2:E38, 0))</f>
        <v>35</v>
      </c>
      <c r="H126">
        <f>IFERROR(INDEX(Planilha4!D2:D38, MATCH(F126, Planilha4!E2:E38, 0)),0)</f>
        <v>0</v>
      </c>
    </row>
    <row r="127" spans="1:8" x14ac:dyDescent="0.25">
      <c r="A127">
        <v>354</v>
      </c>
      <c r="B127" s="5">
        <f>Planilha4!B126</f>
        <v>0</v>
      </c>
      <c r="C127">
        <v>60000</v>
      </c>
      <c r="D127" t="s">
        <v>77</v>
      </c>
      <c r="E127">
        <v>100000</v>
      </c>
      <c r="F127" t="s">
        <v>80</v>
      </c>
      <c r="G127">
        <f>INDEX(Planilha4!D2:D38, MATCH(D127, Planilha4!E2:E38, 0))</f>
        <v>31</v>
      </c>
      <c r="H127">
        <f>IFERROR(INDEX(Planilha4!D2:D38, MATCH(F127, Planilha4!E2:E38, 0)),0)</f>
        <v>30</v>
      </c>
    </row>
    <row r="128" spans="1:8" x14ac:dyDescent="0.25">
      <c r="A128">
        <v>360</v>
      </c>
      <c r="B128" s="5">
        <f>Planilha4!B127</f>
        <v>0</v>
      </c>
      <c r="C128">
        <v>1500</v>
      </c>
      <c r="D128" t="s">
        <v>76</v>
      </c>
      <c r="E128">
        <v>30000</v>
      </c>
      <c r="F128" t="s">
        <v>87</v>
      </c>
      <c r="G128">
        <f>INDEX(Planilha4!D2:D38, MATCH(D128, Planilha4!E2:E38, 0))</f>
        <v>34</v>
      </c>
      <c r="H128">
        <f>IFERROR(INDEX(Planilha4!D2:D38, MATCH(F128, Planilha4!E2:E38, 0)),0)</f>
        <v>4</v>
      </c>
    </row>
    <row r="129" spans="1:8" x14ac:dyDescent="0.25">
      <c r="A129">
        <v>362</v>
      </c>
      <c r="B129" s="5">
        <f>Planilha4!B128</f>
        <v>0</v>
      </c>
      <c r="C129">
        <v>40</v>
      </c>
      <c r="D129" t="s">
        <v>76</v>
      </c>
      <c r="G129">
        <f>INDEX(Planilha4!D2:D38, MATCH(D129, Planilha4!E2:E38, 0))</f>
        <v>34</v>
      </c>
      <c r="H129">
        <f>IFERROR(INDEX(Planilha4!D2:D38, MATCH(F129, Planilha4!E2:E38, 0)),0)</f>
        <v>0</v>
      </c>
    </row>
    <row r="130" spans="1:8" x14ac:dyDescent="0.25">
      <c r="A130">
        <v>363</v>
      </c>
      <c r="B130" s="5">
        <f>Planilha4!B129</f>
        <v>0</v>
      </c>
      <c r="C130">
        <v>3000</v>
      </c>
      <c r="D130" t="s">
        <v>75</v>
      </c>
      <c r="G130">
        <f>INDEX(Planilha4!D2:D38, MATCH(D130, Planilha4!E2:E38, 0))</f>
        <v>8</v>
      </c>
      <c r="H130">
        <f>IFERROR(INDEX(Planilha4!D2:D38, MATCH(F130, Planilha4!E2:E38, 0)),0)</f>
        <v>0</v>
      </c>
    </row>
    <row r="131" spans="1:8" x14ac:dyDescent="0.25">
      <c r="H131">
        <f>IFERROR(INDEX(Planilha4!D2:D38, MATCH(F131, Planilha4!E2:E38, 0)),0)</f>
        <v>0</v>
      </c>
    </row>
    <row r="132" spans="1:8" x14ac:dyDescent="0.25">
      <c r="H132">
        <f>IFERROR(INDEX(Planilha4!D2:D38, MATCH(F132, Planilha4!E2:E38, 0)),0)</f>
        <v>0</v>
      </c>
    </row>
    <row r="133" spans="1:8" x14ac:dyDescent="0.25">
      <c r="H133">
        <f>IFERROR(INDEX(Planilha4!D2:D38, MATCH(F133, Planilha4!E2:E38, 0)),0)</f>
        <v>0</v>
      </c>
    </row>
    <row r="134" spans="1:8" x14ac:dyDescent="0.25">
      <c r="H134">
        <f>IFERROR(INDEX(Planilha4!D2:D38, MATCH(F134, Planilha4!E2:E38, 0)),0)</f>
        <v>0</v>
      </c>
    </row>
    <row r="135" spans="1:8" x14ac:dyDescent="0.25">
      <c r="H135">
        <f>IFERROR(INDEX(Planilha4!D2:D38, MATCH(F135, Planilha4!E2:E38, 0)),0)</f>
        <v>0</v>
      </c>
    </row>
    <row r="136" spans="1:8" x14ac:dyDescent="0.25">
      <c r="H136">
        <f>IFERROR(INDEX(Planilha4!D2:D38, MATCH(F136, Planilha4!E2:E38, 0)),0)</f>
        <v>0</v>
      </c>
    </row>
    <row r="137" spans="1:8" x14ac:dyDescent="0.25">
      <c r="H137">
        <f>IFERROR(INDEX(Planilha4!D2:D38, MATCH(F137, Planilha4!E2:E38, 0)),0)</f>
        <v>0</v>
      </c>
    </row>
    <row r="138" spans="1:8" x14ac:dyDescent="0.25">
      <c r="H138">
        <f>IFERROR(INDEX(Planilha4!D2:D38, MATCH(F138, Planilha4!E2:E38, 0)),0)</f>
        <v>0</v>
      </c>
    </row>
    <row r="139" spans="1:8" x14ac:dyDescent="0.25">
      <c r="H139">
        <f>IFERROR(INDEX(Planilha4!D2:D38, MATCH(F139, Planilha4!E2:E38, 0)),0)</f>
        <v>0</v>
      </c>
    </row>
    <row r="140" spans="1:8" x14ac:dyDescent="0.25">
      <c r="H140">
        <f>IFERROR(INDEX(Planilha4!D2:D38, MATCH(F140, Planilha4!E2:E38, 0)),0)</f>
        <v>0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3815B5-F375-483A-9274-E855F65517AE}">
  <sheetPr codeName="Planilha2"/>
  <dimension ref="A1:H151"/>
  <sheetViews>
    <sheetView zoomScale="205" zoomScaleNormal="205" workbookViewId="0">
      <selection activeCell="A2" sqref="A2:H151"/>
    </sheetView>
  </sheetViews>
  <sheetFormatPr defaultRowHeight="15" x14ac:dyDescent="0.25"/>
  <cols>
    <col min="1" max="1" width="7.7109375" bestFit="1" customWidth="1"/>
    <col min="2" max="2" width="11" bestFit="1" customWidth="1"/>
    <col min="3" max="3" width="11.140625" bestFit="1" customWidth="1"/>
    <col min="5" max="5" width="11.85546875" bestFit="1" customWidth="1"/>
    <col min="6" max="6" width="23.7109375" bestFit="1" customWidth="1"/>
    <col min="7" max="7" width="8.28515625" bestFit="1" customWidth="1"/>
    <col min="8" max="8" width="16.28515625" customWidth="1"/>
  </cols>
  <sheetData>
    <row r="1" spans="1:8" x14ac:dyDescent="0.25">
      <c r="A1" t="s">
        <v>44</v>
      </c>
      <c r="B1" t="s">
        <v>43</v>
      </c>
      <c r="C1" t="s">
        <v>45</v>
      </c>
      <c r="D1" t="s">
        <v>42</v>
      </c>
      <c r="E1" t="s">
        <v>1</v>
      </c>
      <c r="F1" t="s">
        <v>2</v>
      </c>
      <c r="G1" t="s">
        <v>37</v>
      </c>
      <c r="H1" t="s">
        <v>38</v>
      </c>
    </row>
    <row r="2" spans="1:8" x14ac:dyDescent="0.25">
      <c r="A2">
        <v>1</v>
      </c>
      <c r="B2">
        <f>Planilha2!C3</f>
        <v>0</v>
      </c>
      <c r="C2">
        <f>IFERROR(IF(LOOKUP(B2,Planilha1!A2:A130)=B2,B2,0),0)</f>
        <v>0</v>
      </c>
      <c r="D2">
        <f>IFERROR(MATCH(C2,Planilha1!A2:A130),0)</f>
        <v>0</v>
      </c>
      <c r="E2">
        <f ca="1">IF(D2=0,0,OFFSET(Planilha1!A1,Planilha3!D2,1))</f>
        <v>0</v>
      </c>
      <c r="F2">
        <f ca="1">IF(D2=0,,OFFSET(Planilha1!A1,Planilha3!D2,2))</f>
        <v>0</v>
      </c>
      <c r="G2">
        <f ca="1">IF(D2=0,0,OFFSET(Planilha1!A1,Planilha3!D2,3))</f>
        <v>0</v>
      </c>
      <c r="H2">
        <f ca="1">IF(D2=0,0,OFFSET(Planilha1!A1,Planilha3!D2,4))</f>
        <v>0</v>
      </c>
    </row>
    <row r="3" spans="1:8" x14ac:dyDescent="0.25">
      <c r="A3">
        <v>2</v>
      </c>
      <c r="B3">
        <f>Planilha2!C4</f>
        <v>0</v>
      </c>
      <c r="C3">
        <f>IFERROR(IF(LOOKUP(B3,Planilha1!A2:A130)=B3,B3,0),0)</f>
        <v>0</v>
      </c>
      <c r="D3">
        <f>IFERROR(MATCH(C3,Planilha1!A2:A130),0)</f>
        <v>0</v>
      </c>
      <c r="E3">
        <f ca="1">IF(D3=0,0,OFFSET(Planilha1!A1,Planilha3!D3,1))</f>
        <v>0</v>
      </c>
      <c r="F3">
        <f ca="1">IF(D3=0,,OFFSET(Planilha1!A1,Planilha3!D3,2))</f>
        <v>0</v>
      </c>
      <c r="G3">
        <f ca="1">IF(D3=0,0,OFFSET(Planilha1!A1,Planilha3!D3,3))</f>
        <v>0</v>
      </c>
      <c r="H3">
        <f ca="1">IF(D3=0,0,OFFSET(Planilha1!A1,Planilha3!D3,4))</f>
        <v>0</v>
      </c>
    </row>
    <row r="4" spans="1:8" x14ac:dyDescent="0.25">
      <c r="A4">
        <v>3</v>
      </c>
      <c r="B4">
        <f>Planilha2!C5</f>
        <v>0</v>
      </c>
      <c r="C4">
        <f>IFERROR(IF(LOOKUP(B4,Planilha1!A2:A130)=B4,B4,0),0)</f>
        <v>0</v>
      </c>
      <c r="D4">
        <f>IFERROR(MATCH(C4,Planilha1!A2:A130),0)</f>
        <v>0</v>
      </c>
      <c r="E4">
        <f ca="1">IF(D4=0,0,OFFSET(Planilha1!A1,Planilha3!D4,1))</f>
        <v>0</v>
      </c>
      <c r="F4">
        <f ca="1">IF(D4=0,,OFFSET(Planilha1!A1,Planilha3!D4,2))</f>
        <v>0</v>
      </c>
      <c r="G4">
        <f ca="1">IF(D4=0,0,OFFSET(Planilha1!A1,Planilha3!D4,3))</f>
        <v>0</v>
      </c>
      <c r="H4">
        <f ca="1">IF(D4=0,0,OFFSET(Planilha1!A1,Planilha3!D4,4))</f>
        <v>0</v>
      </c>
    </row>
    <row r="5" spans="1:8" x14ac:dyDescent="0.25">
      <c r="A5">
        <v>4</v>
      </c>
      <c r="B5">
        <f>Planilha2!C6</f>
        <v>0</v>
      </c>
      <c r="C5">
        <f>IFERROR(IF(LOOKUP(B5,Planilha1!A2:A130)=B5,B5,0),0)</f>
        <v>0</v>
      </c>
      <c r="D5">
        <f>IFERROR(MATCH(C5,Planilha1!A2:A130),0)</f>
        <v>0</v>
      </c>
      <c r="E5">
        <f ca="1">IF(D5=0,0,OFFSET(Planilha1!A1,Planilha3!D5,1))</f>
        <v>0</v>
      </c>
      <c r="F5">
        <f ca="1">IF(D5=0,,OFFSET(Planilha1!A1,Planilha3!D5,2))</f>
        <v>0</v>
      </c>
      <c r="G5">
        <f ca="1">IF(D5=0,0,OFFSET(Planilha1!A1,Planilha3!D5,3))</f>
        <v>0</v>
      </c>
      <c r="H5">
        <f ca="1">IF(D5=0,0,OFFSET(Planilha1!A1,Planilha3!D5,4))</f>
        <v>0</v>
      </c>
    </row>
    <row r="6" spans="1:8" x14ac:dyDescent="0.25">
      <c r="A6">
        <v>5</v>
      </c>
      <c r="B6">
        <f>Planilha2!C7</f>
        <v>0</v>
      </c>
      <c r="C6">
        <f>IFERROR(IF(LOOKUP(B6,Planilha1!A2:A130)=B6,B6,0),0)</f>
        <v>0</v>
      </c>
      <c r="D6">
        <f>IFERROR(MATCH(C6,Planilha1!A2:A130),0)</f>
        <v>0</v>
      </c>
      <c r="E6">
        <f ca="1">IF(D6=0,0,OFFSET(Planilha1!A1,Planilha3!D6,1))</f>
        <v>0</v>
      </c>
      <c r="F6">
        <f ca="1">IF(D6=0,,OFFSET(Planilha1!A1,Planilha3!D6,2))</f>
        <v>0</v>
      </c>
      <c r="G6">
        <f ca="1">IF(D6=0,0,OFFSET(Planilha1!A1,Planilha3!D6,3))</f>
        <v>0</v>
      </c>
      <c r="H6">
        <f ca="1">IF(D6=0,0,OFFSET(Planilha1!A1,Planilha3!D6,4))</f>
        <v>0</v>
      </c>
    </row>
    <row r="7" spans="1:8" x14ac:dyDescent="0.25">
      <c r="A7">
        <v>6</v>
      </c>
      <c r="B7">
        <f>Planilha2!C8</f>
        <v>0</v>
      </c>
      <c r="C7">
        <f>IFERROR(IF(LOOKUP(B7,Planilha1!A2:A130)=B7,B7,0),0)</f>
        <v>0</v>
      </c>
      <c r="D7">
        <f>IFERROR(MATCH(C7,Planilha1!A2:A130),0)</f>
        <v>0</v>
      </c>
      <c r="E7">
        <f ca="1">IF(D7=0,0,OFFSET(Planilha1!A1,Planilha3!D7,1))</f>
        <v>0</v>
      </c>
      <c r="F7">
        <f ca="1">IF(D7=0,,OFFSET(Planilha1!A1,Planilha3!D7,2))</f>
        <v>0</v>
      </c>
      <c r="G7">
        <f ca="1">IF(D7=0,0,OFFSET(Planilha1!A1,Planilha3!D7,3))</f>
        <v>0</v>
      </c>
      <c r="H7">
        <f ca="1">IF(D7=0,0,OFFSET(Planilha1!A1,Planilha3!D7,4))</f>
        <v>0</v>
      </c>
    </row>
    <row r="8" spans="1:8" x14ac:dyDescent="0.25">
      <c r="A8">
        <v>7</v>
      </c>
      <c r="B8">
        <f>Planilha2!C9</f>
        <v>0</v>
      </c>
      <c r="C8">
        <f>IFERROR(IF(LOOKUP(B8,Planilha1!A2:A130)=B8,B8,0),0)</f>
        <v>0</v>
      </c>
      <c r="D8">
        <f>IFERROR(MATCH(C8,Planilha1!A2:A130),0)</f>
        <v>0</v>
      </c>
      <c r="E8">
        <f ca="1">IF(D8=0,0,OFFSET(Planilha1!A1,Planilha3!D8,1))</f>
        <v>0</v>
      </c>
      <c r="F8">
        <f ca="1">IF(D8=0,,OFFSET(Planilha1!A1,Planilha3!D8,2))</f>
        <v>0</v>
      </c>
      <c r="G8">
        <f ca="1">IF(D8=0,0,OFFSET(Planilha1!A1,Planilha3!D8,3))</f>
        <v>0</v>
      </c>
      <c r="H8">
        <f ca="1">IF(D8=0,0,OFFSET(Planilha1!A1,Planilha3!D8,4))</f>
        <v>0</v>
      </c>
    </row>
    <row r="9" spans="1:8" x14ac:dyDescent="0.25">
      <c r="A9">
        <v>8</v>
      </c>
      <c r="B9">
        <f>Planilha2!C10</f>
        <v>0</v>
      </c>
      <c r="C9">
        <f>IFERROR(IF(LOOKUP(B9,Planilha1!A2:A130)=B9,B9,0),0)</f>
        <v>0</v>
      </c>
      <c r="D9">
        <f>IFERROR(MATCH(C9,Planilha1!A2:A130),0)</f>
        <v>0</v>
      </c>
      <c r="E9">
        <f ca="1">IF(D9=0,0,OFFSET(Planilha1!A1,Planilha3!D9,1))</f>
        <v>0</v>
      </c>
      <c r="F9">
        <f ca="1">IF(D9=0,,OFFSET(Planilha1!A1,Planilha3!D9,2))</f>
        <v>0</v>
      </c>
      <c r="G9">
        <f ca="1">IF(D9=0,0,OFFSET(Planilha1!A1,Planilha3!D9,3))</f>
        <v>0</v>
      </c>
      <c r="H9">
        <f ca="1">IF(D9=0,0,OFFSET(Planilha1!A1,Planilha3!D9,4))</f>
        <v>0</v>
      </c>
    </row>
    <row r="10" spans="1:8" x14ac:dyDescent="0.25">
      <c r="A10">
        <v>9</v>
      </c>
      <c r="B10">
        <f>Planilha2!C11</f>
        <v>0</v>
      </c>
      <c r="C10">
        <f>IFERROR(IF(LOOKUP(B10,Planilha1!A2:A130)=B10,B10,0),0)</f>
        <v>0</v>
      </c>
      <c r="D10">
        <f>IFERROR(MATCH(C10,Planilha1!A2:A130),0)</f>
        <v>0</v>
      </c>
      <c r="E10">
        <f ca="1">IF(D10=0,0,OFFSET(Planilha1!A1,Planilha3!D10,1))</f>
        <v>0</v>
      </c>
      <c r="F10">
        <f ca="1">IF(D10=0,,OFFSET(Planilha1!A1,Planilha3!D10,2))</f>
        <v>0</v>
      </c>
      <c r="G10">
        <f ca="1">IF(D10=0,0,OFFSET(Planilha1!A1,Planilha3!D10,3))</f>
        <v>0</v>
      </c>
      <c r="H10">
        <f ca="1">IF(D10=0,0,OFFSET(Planilha1!A1,Planilha3!D10,4))</f>
        <v>0</v>
      </c>
    </row>
    <row r="11" spans="1:8" x14ac:dyDescent="0.25">
      <c r="A11">
        <v>10</v>
      </c>
      <c r="B11">
        <f>Planilha2!C12</f>
        <v>0</v>
      </c>
      <c r="C11">
        <f>IFERROR(IF(LOOKUP(B11,Planilha1!A2:A130)=B11,B11,0),0)</f>
        <v>0</v>
      </c>
      <c r="D11">
        <f>IFERROR(MATCH(C11,Planilha1!A2:A130),0)</f>
        <v>0</v>
      </c>
      <c r="E11">
        <f ca="1">IF(D11=0,0,OFFSET(Planilha1!A1,Planilha3!D11,1))</f>
        <v>0</v>
      </c>
      <c r="F11">
        <f ca="1">IF(D11=0,,OFFSET(Planilha1!A1,Planilha3!D11,2))</f>
        <v>0</v>
      </c>
      <c r="G11">
        <f ca="1">IF(D11=0,0,OFFSET(Planilha1!A1,Planilha3!D11,3))</f>
        <v>0</v>
      </c>
      <c r="H11">
        <f ca="1">IF(D11=0,0,OFFSET(Planilha1!A1,Planilha3!D11,4))</f>
        <v>0</v>
      </c>
    </row>
    <row r="12" spans="1:8" x14ac:dyDescent="0.25">
      <c r="A12">
        <v>11</v>
      </c>
      <c r="B12">
        <f>Planilha2!C13</f>
        <v>0</v>
      </c>
      <c r="C12">
        <f>IFERROR(IF(LOOKUP(B12,Planilha1!A2:A130)=B12,B12,0),0)</f>
        <v>0</v>
      </c>
      <c r="D12">
        <f>IFERROR(MATCH(C12,Planilha1!A2:A130),0)</f>
        <v>0</v>
      </c>
      <c r="E12">
        <f ca="1">IF(D12=0,0,OFFSET(Planilha1!A1,Planilha3!D12,1))</f>
        <v>0</v>
      </c>
      <c r="F12">
        <f ca="1">IF(D12=0,,OFFSET(Planilha1!A1,Planilha3!D12,2))</f>
        <v>0</v>
      </c>
      <c r="G12">
        <f ca="1">IF(D12=0,0,OFFSET(Planilha1!A1,Planilha3!D12,3))</f>
        <v>0</v>
      </c>
      <c r="H12">
        <f ca="1">IF(D12=0,0,OFFSET(Planilha1!A1,Planilha3!D12,4))</f>
        <v>0</v>
      </c>
    </row>
    <row r="13" spans="1:8" x14ac:dyDescent="0.25">
      <c r="A13">
        <v>12</v>
      </c>
      <c r="B13">
        <f>Planilha2!C14</f>
        <v>0</v>
      </c>
      <c r="C13">
        <f>IFERROR(IF(LOOKUP(B13,Planilha1!A2:A130)=B13,B13,0),0)</f>
        <v>0</v>
      </c>
      <c r="D13">
        <f>IFERROR(MATCH(C13,Planilha1!A2:A130),0)</f>
        <v>0</v>
      </c>
      <c r="E13">
        <f ca="1">IF(D13=0,0,OFFSET(Planilha1!A1,Planilha3!D13,1))</f>
        <v>0</v>
      </c>
      <c r="F13">
        <f ca="1">IF(D13=0,,OFFSET(Planilha1!A1,Planilha3!D13,2))</f>
        <v>0</v>
      </c>
      <c r="G13">
        <f ca="1">IF(D13=0,0,OFFSET(Planilha1!A1,Planilha3!D13,3))</f>
        <v>0</v>
      </c>
      <c r="H13">
        <f ca="1">IF(D13=0,0,OFFSET(Planilha1!A1,Planilha3!D13,4))</f>
        <v>0</v>
      </c>
    </row>
    <row r="14" spans="1:8" x14ac:dyDescent="0.25">
      <c r="A14">
        <v>13</v>
      </c>
      <c r="B14">
        <f>Planilha2!C15</f>
        <v>0</v>
      </c>
      <c r="C14">
        <f>IFERROR(IF(LOOKUP(B14,Planilha1!A2:A130)=B14,B14,0),0)</f>
        <v>0</v>
      </c>
      <c r="D14">
        <f>IFERROR(MATCH(C14,Planilha1!A2:A130),0)</f>
        <v>0</v>
      </c>
      <c r="E14">
        <f ca="1">IF(D14=0,0,OFFSET(Planilha1!A1,Planilha3!D14,1))</f>
        <v>0</v>
      </c>
      <c r="F14">
        <f ca="1">IF(D14=0,,OFFSET(Planilha1!A1,Planilha3!D14,2))</f>
        <v>0</v>
      </c>
      <c r="G14">
        <f ca="1">IF(D14=0,0,OFFSET(Planilha1!A1,Planilha3!D14,3))</f>
        <v>0</v>
      </c>
      <c r="H14">
        <f ca="1">IF(D14=0,0,OFFSET(Planilha1!A1,Planilha3!D14,4))</f>
        <v>0</v>
      </c>
    </row>
    <row r="15" spans="1:8" x14ac:dyDescent="0.25">
      <c r="A15">
        <v>14</v>
      </c>
      <c r="B15">
        <f>Planilha2!C16</f>
        <v>0</v>
      </c>
      <c r="C15">
        <f>IFERROR(IF(LOOKUP(B15,Planilha1!A2:A130)=B15,B15,0),0)</f>
        <v>0</v>
      </c>
      <c r="D15">
        <f>IFERROR(MATCH(C15,Planilha1!A2:A130),0)</f>
        <v>0</v>
      </c>
      <c r="E15">
        <f ca="1">IF(D15=0,0,OFFSET(Planilha1!A1,Planilha3!D15,1))</f>
        <v>0</v>
      </c>
      <c r="F15">
        <f ca="1">IF(D15=0,,OFFSET(Planilha1!A1,Planilha3!D15,2))</f>
        <v>0</v>
      </c>
      <c r="G15">
        <f ca="1">IF(D15=0,0,OFFSET(Planilha1!A1,Planilha3!D15,3))</f>
        <v>0</v>
      </c>
      <c r="H15">
        <f ca="1">IF(D15=0,0,OFFSET(Planilha1!A1,Planilha3!D15,4))</f>
        <v>0</v>
      </c>
    </row>
    <row r="16" spans="1:8" x14ac:dyDescent="0.25">
      <c r="A16">
        <v>15</v>
      </c>
      <c r="B16">
        <f>Planilha2!C17</f>
        <v>0</v>
      </c>
      <c r="C16">
        <f>IFERROR(IF(LOOKUP(B16,Planilha1!A2:A130)=B16,B16,0),0)</f>
        <v>0</v>
      </c>
      <c r="D16">
        <f>IFERROR(MATCH(C16,Planilha1!A2:A130),0)</f>
        <v>0</v>
      </c>
      <c r="E16">
        <f ca="1">IF(D16=0,0,OFFSET(Planilha1!A1,Planilha3!D16,1))</f>
        <v>0</v>
      </c>
      <c r="F16">
        <f ca="1">IF(D16=0,,OFFSET(Planilha1!A1,Planilha3!D16,2))</f>
        <v>0</v>
      </c>
      <c r="G16">
        <f ca="1">IF(D16=0,0,OFFSET(Planilha1!A1,Planilha3!D16,3))</f>
        <v>0</v>
      </c>
      <c r="H16">
        <f ca="1">IF(D16=0,0,OFFSET(Planilha1!A1,Planilha3!D16,4))</f>
        <v>0</v>
      </c>
    </row>
    <row r="17" spans="1:8" x14ac:dyDescent="0.25">
      <c r="A17">
        <v>16</v>
      </c>
      <c r="B17">
        <f>Planilha2!C18</f>
        <v>0</v>
      </c>
      <c r="C17">
        <f>IFERROR(IF(LOOKUP(B17,Planilha1!A2:A130)=B17,B17,0),0)</f>
        <v>0</v>
      </c>
      <c r="D17">
        <f>IFERROR(MATCH(C17,Planilha1!A2:A130),0)</f>
        <v>0</v>
      </c>
      <c r="E17">
        <f ca="1">IF(D17=0,0,OFFSET(Planilha1!A1,Planilha3!D17,1))</f>
        <v>0</v>
      </c>
      <c r="F17">
        <f ca="1">IF(D17=0,,OFFSET(Planilha1!A1,Planilha3!D17,2))</f>
        <v>0</v>
      </c>
      <c r="G17">
        <f ca="1">IF(D17=0,0,OFFSET(Planilha1!A1,Planilha3!D17,3))</f>
        <v>0</v>
      </c>
      <c r="H17">
        <f ca="1">IF(D17=0,0,OFFSET(Planilha1!A1,Planilha3!D17,4))</f>
        <v>0</v>
      </c>
    </row>
    <row r="18" spans="1:8" x14ac:dyDescent="0.25">
      <c r="A18">
        <v>17</v>
      </c>
      <c r="B18">
        <f>Planilha2!C19</f>
        <v>0</v>
      </c>
      <c r="C18">
        <f>IFERROR(IF(LOOKUP(B18,Planilha1!A2:A130)=B18,B18,0),0)</f>
        <v>0</v>
      </c>
      <c r="D18">
        <f>IFERROR(MATCH(C18,Planilha1!A2:A130),0)</f>
        <v>0</v>
      </c>
      <c r="E18">
        <f ca="1">IF(D18=0,0,OFFSET(Planilha1!A1,Planilha3!D18,1))</f>
        <v>0</v>
      </c>
      <c r="F18">
        <f ca="1">IF(D18=0,,OFFSET(Planilha1!A1,Planilha3!D18,2))</f>
        <v>0</v>
      </c>
      <c r="G18">
        <f ca="1">IF(D18=0,0,OFFSET(Planilha1!A1,Planilha3!D18,3))</f>
        <v>0</v>
      </c>
      <c r="H18">
        <f ca="1">IF(D18=0,0,OFFSET(Planilha1!A1,Planilha3!D18,4))</f>
        <v>0</v>
      </c>
    </row>
    <row r="19" spans="1:8" x14ac:dyDescent="0.25">
      <c r="A19">
        <v>18</v>
      </c>
      <c r="B19">
        <f>Planilha2!C20</f>
        <v>0</v>
      </c>
      <c r="C19">
        <f>IFERROR(IF(LOOKUP(B19,Planilha1!A2:A130)=B19,B19,0),0)</f>
        <v>0</v>
      </c>
      <c r="D19">
        <f>IFERROR(MATCH(C19,Planilha1!A2:A130),0)</f>
        <v>0</v>
      </c>
      <c r="E19">
        <f ca="1">IF(D19=0,0,OFFSET(Planilha1!A1,Planilha3!D19,1))</f>
        <v>0</v>
      </c>
      <c r="F19">
        <f ca="1">IF(D19=0,,OFFSET(Planilha1!A1,Planilha3!D19,2))</f>
        <v>0</v>
      </c>
      <c r="G19">
        <f ca="1">IF(D19=0,0,OFFSET(Planilha1!A1,Planilha3!D19,3))</f>
        <v>0</v>
      </c>
      <c r="H19">
        <f ca="1">IF(D19=0,0,OFFSET(Planilha1!A1,Planilha3!D19,4))</f>
        <v>0</v>
      </c>
    </row>
    <row r="20" spans="1:8" x14ac:dyDescent="0.25">
      <c r="A20">
        <v>19</v>
      </c>
      <c r="B20">
        <f>Planilha2!C21</f>
        <v>0</v>
      </c>
      <c r="C20">
        <f>IFERROR(IF(LOOKUP(B20,Planilha1!A2:A130)=B20,B20,0),0)</f>
        <v>0</v>
      </c>
      <c r="D20">
        <f>IFERROR(MATCH(C20,Planilha1!A2:A130),0)</f>
        <v>0</v>
      </c>
      <c r="E20">
        <f ca="1">IF(D20=0,0,OFFSET(Planilha1!A1,Planilha3!D20,1))</f>
        <v>0</v>
      </c>
      <c r="F20">
        <f ca="1">IF(D20=0,,OFFSET(Planilha1!A1,Planilha3!D20,2))</f>
        <v>0</v>
      </c>
      <c r="G20">
        <f ca="1">IF(D20=0,0,OFFSET(Planilha1!A1,Planilha3!D20,3))</f>
        <v>0</v>
      </c>
      <c r="H20">
        <f ca="1">IF(D20=0,0,OFFSET(Planilha1!A1,Planilha3!D20,4))</f>
        <v>0</v>
      </c>
    </row>
    <row r="21" spans="1:8" x14ac:dyDescent="0.25">
      <c r="A21">
        <v>20</v>
      </c>
      <c r="B21">
        <f>Planilha2!C22</f>
        <v>0</v>
      </c>
      <c r="C21">
        <f>IFERROR(IF(LOOKUP(B21,Planilha1!A2:A130)=B21,B21,0),0)</f>
        <v>0</v>
      </c>
      <c r="D21">
        <f>IFERROR(MATCH(C21,Planilha1!A2:A130),0)</f>
        <v>0</v>
      </c>
      <c r="E21">
        <f ca="1">IF(D21=0,0,OFFSET(Planilha1!A1,Planilha3!D21,1))</f>
        <v>0</v>
      </c>
      <c r="F21">
        <f ca="1">IF(D21=0,,OFFSET(Planilha1!A1,Planilha3!D21,2))</f>
        <v>0</v>
      </c>
      <c r="G21">
        <f ca="1">IF(D21=0,0,OFFSET(Planilha1!A1,Planilha3!D21,3))</f>
        <v>0</v>
      </c>
      <c r="H21">
        <f ca="1">IF(D21=0,0,OFFSET(Planilha1!A1,Planilha3!D21,4))</f>
        <v>0</v>
      </c>
    </row>
    <row r="22" spans="1:8" x14ac:dyDescent="0.25">
      <c r="A22">
        <v>21</v>
      </c>
      <c r="B22">
        <f>Planilha2!C23</f>
        <v>0</v>
      </c>
      <c r="C22">
        <f>IFERROR(IF(LOOKUP(B22,Planilha1!A2:A130)=B22,B22,0),0)</f>
        <v>0</v>
      </c>
      <c r="D22">
        <f>IFERROR(MATCH(C22,Planilha1!A2:A130),0)</f>
        <v>0</v>
      </c>
      <c r="E22">
        <f ca="1">IF(D22=0,0,OFFSET(Planilha1!A1,Planilha3!D22,1))</f>
        <v>0</v>
      </c>
      <c r="F22">
        <f ca="1">IF(D22=0,,OFFSET(Planilha1!A1,Planilha3!D22,2))</f>
        <v>0</v>
      </c>
      <c r="G22">
        <f ca="1">IF(D22=0,0,OFFSET(Planilha1!A1,Planilha3!D22,3))</f>
        <v>0</v>
      </c>
      <c r="H22">
        <f ca="1">IF(D22=0,0,OFFSET(Planilha1!A1,Planilha3!D22,4))</f>
        <v>0</v>
      </c>
    </row>
    <row r="23" spans="1:8" x14ac:dyDescent="0.25">
      <c r="A23">
        <v>22</v>
      </c>
      <c r="B23">
        <f>Planilha2!C24</f>
        <v>0</v>
      </c>
      <c r="C23">
        <f>IFERROR(IF(LOOKUP(B23,Planilha1!A2:A130)=B23,B23,0),0)</f>
        <v>0</v>
      </c>
      <c r="D23">
        <f>IFERROR(MATCH(C23,Planilha1!A2:A130),0)</f>
        <v>0</v>
      </c>
      <c r="E23">
        <f ca="1">IF(D23=0,0,OFFSET(Planilha1!A1,Planilha3!D23,1))</f>
        <v>0</v>
      </c>
      <c r="F23">
        <f ca="1">IF(D23=0,,OFFSET(Planilha1!A1,Planilha3!D23,2))</f>
        <v>0</v>
      </c>
      <c r="G23">
        <f ca="1">IF(D23=0,0,OFFSET(Planilha1!A1,Planilha3!D23,3))</f>
        <v>0</v>
      </c>
      <c r="H23">
        <f ca="1">IF(D23=0,0,OFFSET(Planilha1!A1,Planilha3!D23,4))</f>
        <v>0</v>
      </c>
    </row>
    <row r="24" spans="1:8" x14ac:dyDescent="0.25">
      <c r="A24">
        <v>23</v>
      </c>
      <c r="B24">
        <f>Planilha2!C25</f>
        <v>0</v>
      </c>
      <c r="C24">
        <f>IFERROR(IF(LOOKUP(B24,Planilha1!A2:A130)=B24,B24,0),0)</f>
        <v>0</v>
      </c>
      <c r="D24">
        <f>IFERROR(MATCH(C24,Planilha1!A2:A130),0)</f>
        <v>0</v>
      </c>
      <c r="E24">
        <f ca="1">IF(D24=0,0,OFFSET(Planilha1!A1,Planilha3!D24,1))</f>
        <v>0</v>
      </c>
      <c r="F24">
        <f ca="1">IF(D24=0,,OFFSET(Planilha1!A1,Planilha3!D24,2))</f>
        <v>0</v>
      </c>
      <c r="G24">
        <f ca="1">IF(D24=0,0,OFFSET(Planilha1!A1,Planilha3!D24,3))</f>
        <v>0</v>
      </c>
      <c r="H24">
        <f ca="1">IF(D24=0,0,OFFSET(Planilha1!A1,Planilha3!D24,4))</f>
        <v>0</v>
      </c>
    </row>
    <row r="25" spans="1:8" x14ac:dyDescent="0.25">
      <c r="A25">
        <v>24</v>
      </c>
      <c r="B25">
        <f>Planilha2!C26</f>
        <v>0</v>
      </c>
      <c r="C25">
        <f>IFERROR(IF(LOOKUP(B25,Planilha1!A2:A130)=B25,B25,0),0)</f>
        <v>0</v>
      </c>
      <c r="D25">
        <f>IFERROR(MATCH(C25,Planilha1!A2:A130),0)</f>
        <v>0</v>
      </c>
      <c r="E25">
        <f ca="1">IF(D25=0,0,OFFSET(Planilha1!A1,Planilha3!D25,1))</f>
        <v>0</v>
      </c>
      <c r="F25">
        <f ca="1">IF(D25=0,,OFFSET(Planilha1!A1,Planilha3!D25,2))</f>
        <v>0</v>
      </c>
      <c r="G25">
        <f ca="1">IF(D25=0,0,OFFSET(Planilha1!A1,Planilha3!D25,3))</f>
        <v>0</v>
      </c>
      <c r="H25">
        <f ca="1">IF(D25=0,0,OFFSET(Planilha1!A1,Planilha3!D25,4))</f>
        <v>0</v>
      </c>
    </row>
    <row r="26" spans="1:8" x14ac:dyDescent="0.25">
      <c r="A26">
        <v>25</v>
      </c>
      <c r="B26">
        <f>Planilha2!C27</f>
        <v>0</v>
      </c>
      <c r="C26">
        <f>IFERROR(IF(LOOKUP(B26,Planilha1!A2:A130)=B26,B26,0),0)</f>
        <v>0</v>
      </c>
      <c r="D26">
        <f>IFERROR(MATCH(C26,Planilha1!A2:A130),0)</f>
        <v>0</v>
      </c>
      <c r="E26">
        <f ca="1">IF(D26=0,0,OFFSET(Planilha1!A1,Planilha3!D26,1))</f>
        <v>0</v>
      </c>
      <c r="F26">
        <f ca="1">IF(D26=0,,OFFSET(Planilha1!A1,Planilha3!D26,2))</f>
        <v>0</v>
      </c>
      <c r="G26">
        <f ca="1">IF(D26=0,0,OFFSET(Planilha1!A1,Planilha3!D26,3))</f>
        <v>0</v>
      </c>
      <c r="H26">
        <f ca="1">IF(D26=0,0,OFFSET(Planilha1!A1,Planilha3!D26,4))</f>
        <v>0</v>
      </c>
    </row>
    <row r="27" spans="1:8" x14ac:dyDescent="0.25">
      <c r="A27">
        <v>26</v>
      </c>
      <c r="B27">
        <f>Planilha2!C28</f>
        <v>0</v>
      </c>
      <c r="C27">
        <f>IFERROR(IF(LOOKUP(B27,Planilha1!A2:A130)=B27,B27,0),0)</f>
        <v>0</v>
      </c>
      <c r="D27">
        <f>IFERROR(MATCH(C27,Planilha1!A2:A130),0)</f>
        <v>0</v>
      </c>
      <c r="E27">
        <f ca="1">IF(D27=0,0,OFFSET(Planilha1!A1,Planilha3!D27,1))</f>
        <v>0</v>
      </c>
      <c r="F27">
        <f ca="1">IF(D27=0,,OFFSET(Planilha1!A1,Planilha3!D27,2))</f>
        <v>0</v>
      </c>
      <c r="G27">
        <f ca="1">IF(D27=0,0,OFFSET(Planilha1!A1,Planilha3!D27,3))</f>
        <v>0</v>
      </c>
      <c r="H27">
        <f ca="1">IF(D27=0,0,OFFSET(Planilha1!A1,Planilha3!D27,4))</f>
        <v>0</v>
      </c>
    </row>
    <row r="28" spans="1:8" x14ac:dyDescent="0.25">
      <c r="A28">
        <v>27</v>
      </c>
      <c r="B28">
        <f>Planilha2!C29</f>
        <v>0</v>
      </c>
      <c r="C28">
        <f>IFERROR(IF(LOOKUP(B28,Planilha1!A2:A130)=B28,B28,0),0)</f>
        <v>0</v>
      </c>
      <c r="D28">
        <f>IFERROR(MATCH(C28,Planilha1!A2:A130),0)</f>
        <v>0</v>
      </c>
      <c r="E28">
        <f ca="1">IF(D28=0,0,OFFSET(Planilha1!A1,Planilha3!D28,1))</f>
        <v>0</v>
      </c>
      <c r="F28">
        <f ca="1">IF(D28=0,,OFFSET(Planilha1!A1,Planilha3!D28,2))</f>
        <v>0</v>
      </c>
      <c r="G28">
        <f ca="1">IF(D28=0,0,OFFSET(Planilha1!A1,Planilha3!D28,3))</f>
        <v>0</v>
      </c>
      <c r="H28">
        <f ca="1">IF(D28=0,0,OFFSET(Planilha1!A1,Planilha3!D28,4))</f>
        <v>0</v>
      </c>
    </row>
    <row r="29" spans="1:8" x14ac:dyDescent="0.25">
      <c r="A29">
        <v>28</v>
      </c>
      <c r="B29">
        <f>Planilha2!C30</f>
        <v>0</v>
      </c>
      <c r="C29">
        <f>IFERROR(IF(LOOKUP(B29,Planilha1!A2:A130)=B29,B29,0),0)</f>
        <v>0</v>
      </c>
      <c r="D29">
        <f>IFERROR(MATCH(C29,Planilha1!A2:A130),0)</f>
        <v>0</v>
      </c>
      <c r="E29">
        <f ca="1">IF(D29=0,0,OFFSET(Planilha1!A1,Planilha3!D29,1))</f>
        <v>0</v>
      </c>
      <c r="F29">
        <f ca="1">IF(D29=0,,OFFSET(Planilha1!A1,Planilha3!D29,2))</f>
        <v>0</v>
      </c>
      <c r="G29">
        <f ca="1">IF(D29=0,0,OFFSET(Planilha1!A1,Planilha3!D29,3))</f>
        <v>0</v>
      </c>
      <c r="H29">
        <f ca="1">IF(D29=0,0,OFFSET(Planilha1!A1,Planilha3!D29,4))</f>
        <v>0</v>
      </c>
    </row>
    <row r="30" spans="1:8" x14ac:dyDescent="0.25">
      <c r="A30">
        <v>29</v>
      </c>
      <c r="B30">
        <f>Planilha2!C31</f>
        <v>0</v>
      </c>
      <c r="C30">
        <f>IFERROR(IF(LOOKUP(B30,Planilha1!A2:A130)=B30,B30,0),0)</f>
        <v>0</v>
      </c>
      <c r="D30">
        <f>IFERROR(MATCH(C30,Planilha1!A2:A130),0)</f>
        <v>0</v>
      </c>
      <c r="E30">
        <f ca="1">IF(D30=0,0,OFFSET(Planilha1!A1,Planilha3!D30,1))</f>
        <v>0</v>
      </c>
      <c r="F30">
        <f ca="1">IF(D30=0,,OFFSET(Planilha1!A1,Planilha3!D30,2))</f>
        <v>0</v>
      </c>
      <c r="G30">
        <f ca="1">IF(D30=0,0,OFFSET(Planilha1!A1,Planilha3!D30,3))</f>
        <v>0</v>
      </c>
      <c r="H30">
        <f ca="1">IF(D30=0,0,OFFSET(Planilha1!A1,Planilha3!D30,4))</f>
        <v>0</v>
      </c>
    </row>
    <row r="31" spans="1:8" x14ac:dyDescent="0.25">
      <c r="A31">
        <v>30</v>
      </c>
      <c r="B31">
        <f>Planilha2!C32</f>
        <v>0</v>
      </c>
      <c r="C31">
        <f>IFERROR(IF(LOOKUP(B31,Planilha1!A2:A130)=B31,B31,0),0)</f>
        <v>0</v>
      </c>
      <c r="D31">
        <f>IFERROR(MATCH(C31,Planilha1!A2:A130),0)</f>
        <v>0</v>
      </c>
      <c r="E31">
        <f ca="1">IF(D31=0,0,OFFSET(Planilha1!A1,Planilha3!D31,1))</f>
        <v>0</v>
      </c>
      <c r="F31">
        <f ca="1">IF(D31=0,,OFFSET(Planilha1!A1,Planilha3!D31,2))</f>
        <v>0</v>
      </c>
      <c r="G31">
        <f ca="1">IF(D31=0,0,OFFSET(Planilha1!A1,Planilha3!D31,3))</f>
        <v>0</v>
      </c>
      <c r="H31">
        <f ca="1">IF(D31=0,0,OFFSET(Planilha1!A1,Planilha3!D31,4))</f>
        <v>0</v>
      </c>
    </row>
    <row r="32" spans="1:8" x14ac:dyDescent="0.25">
      <c r="A32">
        <v>31</v>
      </c>
      <c r="B32">
        <f>Planilha2!C33</f>
        <v>0</v>
      </c>
      <c r="C32">
        <f>IFERROR(IF(LOOKUP(B32,Planilha1!A2:A130)=B32,B32,0),0)</f>
        <v>0</v>
      </c>
      <c r="D32">
        <f>IFERROR(MATCH(C32,Planilha1!A2:A130),0)</f>
        <v>0</v>
      </c>
      <c r="E32">
        <f ca="1">IF(D32=0,0,OFFSET(Planilha1!A1,Planilha3!D32,1))</f>
        <v>0</v>
      </c>
      <c r="F32">
        <f ca="1">IF(D32=0,,OFFSET(Planilha1!A1,Planilha3!D32,2))</f>
        <v>0</v>
      </c>
      <c r="G32">
        <f ca="1">IF(D32=0,0,OFFSET(Planilha1!A1,Planilha3!D32,3))</f>
        <v>0</v>
      </c>
      <c r="H32">
        <f ca="1">IF(D32=0,0,OFFSET(Planilha1!A1,Planilha3!D32,4))</f>
        <v>0</v>
      </c>
    </row>
    <row r="33" spans="1:8" x14ac:dyDescent="0.25">
      <c r="A33">
        <v>32</v>
      </c>
      <c r="B33">
        <f>Planilha2!C34</f>
        <v>0</v>
      </c>
      <c r="C33">
        <f>IFERROR(IF(LOOKUP(B33,Planilha1!A2:A130)=B33,B33,0),0)</f>
        <v>0</v>
      </c>
      <c r="D33">
        <f>IFERROR(MATCH(C33,Planilha1!A2:A130),0)</f>
        <v>0</v>
      </c>
      <c r="E33">
        <f ca="1">IF(D33=0,0,OFFSET(Planilha1!A1,Planilha3!D33,1))</f>
        <v>0</v>
      </c>
      <c r="F33">
        <f ca="1">IF(D33=0,,OFFSET(Planilha1!A1,Planilha3!D33,2))</f>
        <v>0</v>
      </c>
      <c r="G33">
        <f ca="1">IF(D33=0,0,OFFSET(Planilha1!A1,Planilha3!D33,3))</f>
        <v>0</v>
      </c>
      <c r="H33">
        <f ca="1">IF(D33=0,0,OFFSET(Planilha1!A1,Planilha3!D33,4))</f>
        <v>0</v>
      </c>
    </row>
    <row r="34" spans="1:8" x14ac:dyDescent="0.25">
      <c r="A34">
        <v>33</v>
      </c>
      <c r="B34">
        <f>Planilha2!C35</f>
        <v>0</v>
      </c>
      <c r="C34">
        <f>IFERROR(IF(LOOKUP(B34,Planilha1!A2:A130)=B34,B34,0),0)</f>
        <v>0</v>
      </c>
      <c r="D34">
        <f>IFERROR(MATCH(C34,Planilha1!A2:A130),0)</f>
        <v>0</v>
      </c>
      <c r="E34">
        <f ca="1">IF(D34=0,0,OFFSET(Planilha1!A1,Planilha3!D34,1))</f>
        <v>0</v>
      </c>
      <c r="F34">
        <f ca="1">IF(D34=0,,OFFSET(Planilha1!A1,Planilha3!D34,2))</f>
        <v>0</v>
      </c>
      <c r="G34">
        <f ca="1">IF(D34=0,0,OFFSET(Planilha1!A1,Planilha3!D34,3))</f>
        <v>0</v>
      </c>
      <c r="H34">
        <f ca="1">IF(D34=0,0,OFFSET(Planilha1!A1,Planilha3!D34,4))</f>
        <v>0</v>
      </c>
    </row>
    <row r="35" spans="1:8" x14ac:dyDescent="0.25">
      <c r="A35">
        <v>34</v>
      </c>
      <c r="B35">
        <f>Planilha2!C36</f>
        <v>0</v>
      </c>
      <c r="C35">
        <f>IFERROR(IF(LOOKUP(B35,Planilha1!A2:A130)=B35,B35,0),0)</f>
        <v>0</v>
      </c>
      <c r="D35">
        <f>IFERROR(MATCH(C35,Planilha1!A2:A130),0)</f>
        <v>0</v>
      </c>
      <c r="E35">
        <f ca="1">IF(D35=0,0,OFFSET(Planilha1!A1,Planilha3!D35,1))</f>
        <v>0</v>
      </c>
      <c r="F35">
        <f ca="1">IF(D35=0,,OFFSET(Planilha1!A1,Planilha3!D35,2))</f>
        <v>0</v>
      </c>
      <c r="G35">
        <f ca="1">IF(D35=0,0,OFFSET(Planilha1!A1,Planilha3!D35,3))</f>
        <v>0</v>
      </c>
      <c r="H35">
        <f ca="1">IF(D35=0,0,OFFSET(Planilha1!A1,Planilha3!D35,4))</f>
        <v>0</v>
      </c>
    </row>
    <row r="36" spans="1:8" x14ac:dyDescent="0.25">
      <c r="A36">
        <v>35</v>
      </c>
      <c r="B36">
        <f>Planilha2!C37</f>
        <v>0</v>
      </c>
      <c r="C36">
        <f>IFERROR(IF(LOOKUP(B36,Planilha1!A2:A130)=B36,B36,0),0)</f>
        <v>0</v>
      </c>
      <c r="D36">
        <f>IFERROR(MATCH(C36,Planilha1!A2:A130),0)</f>
        <v>0</v>
      </c>
      <c r="E36">
        <f ca="1">IF(D36=0,0,OFFSET(Planilha1!A1,Planilha3!D36,1))</f>
        <v>0</v>
      </c>
      <c r="F36">
        <f ca="1">IF(D36=0,,OFFSET(Planilha1!A1,Planilha3!D36,2))</f>
        <v>0</v>
      </c>
      <c r="G36">
        <f ca="1">IF(D36=0,0,OFFSET(Planilha1!A1,Planilha3!D36,3))</f>
        <v>0</v>
      </c>
      <c r="H36">
        <f ca="1">IF(D36=0,0,OFFSET(Planilha1!A1,Planilha3!D36,4))</f>
        <v>0</v>
      </c>
    </row>
    <row r="37" spans="1:8" x14ac:dyDescent="0.25">
      <c r="A37">
        <v>36</v>
      </c>
      <c r="B37">
        <f>Planilha2!C38</f>
        <v>0</v>
      </c>
      <c r="C37">
        <f>IFERROR(IF(LOOKUP(B37,Planilha1!A2:A130)=B37,B37,0),0)</f>
        <v>0</v>
      </c>
      <c r="D37">
        <f>IFERROR(MATCH(C37,Planilha1!A2:A130),0)</f>
        <v>0</v>
      </c>
      <c r="E37">
        <f ca="1">IF(D37=0,0,OFFSET(Planilha1!A1,Planilha3!D37,1))</f>
        <v>0</v>
      </c>
      <c r="F37">
        <f ca="1">IF(D37=0,,OFFSET(Planilha1!A1,Planilha3!D37,2))</f>
        <v>0</v>
      </c>
      <c r="G37">
        <f ca="1">IF(D37=0,0,OFFSET(Planilha1!A1,Planilha3!D37,3))</f>
        <v>0</v>
      </c>
      <c r="H37">
        <f ca="1">IF(D37=0,0,OFFSET(Planilha1!A1,Planilha3!D37,4))</f>
        <v>0</v>
      </c>
    </row>
    <row r="38" spans="1:8" x14ac:dyDescent="0.25">
      <c r="A38">
        <v>37</v>
      </c>
      <c r="B38">
        <f>Planilha2!C39</f>
        <v>0</v>
      </c>
      <c r="C38">
        <f>IFERROR(IF(LOOKUP(B38,Planilha1!A2:A130)=B38,B38,0),0)</f>
        <v>0</v>
      </c>
      <c r="D38">
        <f>IFERROR(MATCH(C38,Planilha1!A2:A130),0)</f>
        <v>0</v>
      </c>
      <c r="E38">
        <f ca="1">IF(D38=0,0,OFFSET(Planilha1!A1,Planilha3!D38,1))</f>
        <v>0</v>
      </c>
      <c r="F38">
        <f ca="1">IF(D38=0,,OFFSET(Planilha1!A1,Planilha3!D38,2))</f>
        <v>0</v>
      </c>
      <c r="G38">
        <f ca="1">IF(D38=0,0,OFFSET(Planilha1!A1,Planilha3!D38,3))</f>
        <v>0</v>
      </c>
      <c r="H38">
        <f ca="1">IF(D38=0,0,OFFSET(Planilha1!A1,Planilha3!D38,4))</f>
        <v>0</v>
      </c>
    </row>
    <row r="39" spans="1:8" x14ac:dyDescent="0.25">
      <c r="A39">
        <v>38</v>
      </c>
      <c r="B39">
        <f>Planilha2!C40</f>
        <v>0</v>
      </c>
      <c r="C39">
        <f>IFERROR(IF(LOOKUP(B39,Planilha1!A2:A130)=B39,B39,0),0)</f>
        <v>0</v>
      </c>
      <c r="D39">
        <f>IFERROR(MATCH(C39,Planilha1!A2:A130),0)</f>
        <v>0</v>
      </c>
      <c r="E39">
        <f ca="1">IF(D39=0,0,OFFSET(Planilha1!A1,Planilha3!D39,1))</f>
        <v>0</v>
      </c>
      <c r="F39">
        <f ca="1">IF(D39=0,,OFFSET(Planilha1!A1,Planilha3!D39,2))</f>
        <v>0</v>
      </c>
      <c r="G39">
        <f ca="1">IF(D39=0,0,OFFSET(Planilha1!A1,Planilha3!D39,3))</f>
        <v>0</v>
      </c>
      <c r="H39">
        <f ca="1">IF(D39=0,0,OFFSET(Planilha1!A1,Planilha3!D39,4))</f>
        <v>0</v>
      </c>
    </row>
    <row r="40" spans="1:8" x14ac:dyDescent="0.25">
      <c r="A40">
        <v>39</v>
      </c>
      <c r="B40">
        <f>Planilha2!C41</f>
        <v>0</v>
      </c>
      <c r="C40">
        <f>IFERROR(IF(LOOKUP(B40,Planilha1!A2:A130)=B40,B40,0),0)</f>
        <v>0</v>
      </c>
      <c r="D40">
        <f>IFERROR(MATCH(C40,Planilha1!A2:A130),0)</f>
        <v>0</v>
      </c>
      <c r="E40">
        <f ca="1">IF(D40=0,0,OFFSET(Planilha1!A1,Planilha3!D40,1))</f>
        <v>0</v>
      </c>
      <c r="F40">
        <f ca="1">IF(D40=0,,OFFSET(Planilha1!A1,Planilha3!D40,2))</f>
        <v>0</v>
      </c>
      <c r="G40">
        <f ca="1">IF(D40=0,0,OFFSET(Planilha1!A1,Planilha3!D40,3))</f>
        <v>0</v>
      </c>
      <c r="H40">
        <f ca="1">IF(D40=0,0,OFFSET(Planilha1!A1,Planilha3!D40,4))</f>
        <v>0</v>
      </c>
    </row>
    <row r="41" spans="1:8" x14ac:dyDescent="0.25">
      <c r="A41">
        <v>40</v>
      </c>
      <c r="B41">
        <f>Planilha2!C42</f>
        <v>0</v>
      </c>
      <c r="C41">
        <f>IFERROR(IF(LOOKUP(B41,Planilha1!A2:A130)=B41,B41,0),0)</f>
        <v>0</v>
      </c>
      <c r="D41">
        <f>IFERROR(MATCH(C41,Planilha1!A2:A130),0)</f>
        <v>0</v>
      </c>
      <c r="E41">
        <f ca="1">IF(D41=0,0,OFFSET(Planilha1!A1,Planilha3!D41,1))</f>
        <v>0</v>
      </c>
      <c r="F41">
        <f ca="1">IF(D41=0,,OFFSET(Planilha1!A1,Planilha3!D41,2))</f>
        <v>0</v>
      </c>
      <c r="G41">
        <f ca="1">IF(D41=0,0,OFFSET(Planilha1!A1,Planilha3!D41,3))</f>
        <v>0</v>
      </c>
      <c r="H41">
        <f ca="1">IF(D41=0,0,OFFSET(Planilha1!A1,Planilha3!D41,4))</f>
        <v>0</v>
      </c>
    </row>
    <row r="42" spans="1:8" x14ac:dyDescent="0.25">
      <c r="A42">
        <v>41</v>
      </c>
      <c r="B42">
        <f>Planilha2!C43</f>
        <v>0</v>
      </c>
      <c r="C42">
        <f>IFERROR(IF(LOOKUP(B42,Planilha1!A2:A130)=B42,B42,0),0)</f>
        <v>0</v>
      </c>
      <c r="D42">
        <f>IFERROR(MATCH(C42,Planilha1!A2:A130),0)</f>
        <v>0</v>
      </c>
      <c r="E42">
        <f ca="1">IF(D42=0,0,OFFSET(Planilha1!A1,Planilha3!D42,1))</f>
        <v>0</v>
      </c>
      <c r="F42">
        <f ca="1">IF(D42=0,,OFFSET(Planilha1!A1,Planilha3!D42,2))</f>
        <v>0</v>
      </c>
      <c r="G42">
        <f ca="1">IF(D42=0,0,OFFSET(Planilha1!A1,Planilha3!D42,3))</f>
        <v>0</v>
      </c>
      <c r="H42">
        <f ca="1">IF(D42=0,0,OFFSET(Planilha1!A1,Planilha3!D42,4))</f>
        <v>0</v>
      </c>
    </row>
    <row r="43" spans="1:8" x14ac:dyDescent="0.25">
      <c r="A43">
        <v>42</v>
      </c>
      <c r="B43">
        <f>Planilha2!C44</f>
        <v>0</v>
      </c>
      <c r="C43">
        <f>IFERROR(IF(LOOKUP(B43,Planilha1!A2:A130)=B43,B43,0),0)</f>
        <v>0</v>
      </c>
      <c r="D43">
        <f>IFERROR(MATCH(C43,Planilha1!A2:A130),0)</f>
        <v>0</v>
      </c>
      <c r="E43">
        <f ca="1">IF(D43=0,0,OFFSET(Planilha1!A1,Planilha3!D43,1))</f>
        <v>0</v>
      </c>
      <c r="F43">
        <f ca="1">IF(D43=0,,OFFSET(Planilha1!A1,Planilha3!D43,2))</f>
        <v>0</v>
      </c>
      <c r="G43">
        <f ca="1">IF(D43=0,0,OFFSET(Planilha1!A1,Planilha3!D43,3))</f>
        <v>0</v>
      </c>
      <c r="H43">
        <f ca="1">IF(D43=0,0,OFFSET(Planilha1!A1,Planilha3!D43,4))</f>
        <v>0</v>
      </c>
    </row>
    <row r="44" spans="1:8" x14ac:dyDescent="0.25">
      <c r="A44">
        <v>43</v>
      </c>
      <c r="B44">
        <f>Planilha2!C45</f>
        <v>0</v>
      </c>
      <c r="C44">
        <f>IFERROR(IF(LOOKUP(B44,Planilha1!A2:A130)=B44,B44,0),0)</f>
        <v>0</v>
      </c>
      <c r="D44">
        <f>IFERROR(MATCH(C44,Planilha1!A2:A130),0)</f>
        <v>0</v>
      </c>
      <c r="E44">
        <f ca="1">IF(D44=0,0,OFFSET(Planilha1!A1,Planilha3!D44,1))</f>
        <v>0</v>
      </c>
      <c r="F44">
        <f ca="1">IF(D44=0,,OFFSET(Planilha1!A1,Planilha3!D44,2))</f>
        <v>0</v>
      </c>
      <c r="G44">
        <f ca="1">IF(D44=0,0,OFFSET(Planilha1!A1,Planilha3!D44,3))</f>
        <v>0</v>
      </c>
      <c r="H44">
        <f ca="1">IF(D44=0,0,OFFSET(Planilha1!A1,Planilha3!D44,4))</f>
        <v>0</v>
      </c>
    </row>
    <row r="45" spans="1:8" x14ac:dyDescent="0.25">
      <c r="A45">
        <v>44</v>
      </c>
      <c r="B45">
        <f>Planilha2!C46</f>
        <v>0</v>
      </c>
      <c r="C45">
        <f>IFERROR(IF(LOOKUP(B45,Planilha1!A2:A130)=B45,B45,0),0)</f>
        <v>0</v>
      </c>
      <c r="D45">
        <f>IFERROR(MATCH(C45,Planilha1!A2:A130),0)</f>
        <v>0</v>
      </c>
      <c r="E45">
        <f ca="1">IF(D45=0,0,OFFSET(Planilha1!A1,Planilha3!D45,1))</f>
        <v>0</v>
      </c>
      <c r="F45">
        <f ca="1">IF(D45=0,,OFFSET(Planilha1!A1,Planilha3!D45,2))</f>
        <v>0</v>
      </c>
      <c r="G45">
        <f ca="1">IF(D45=0,0,OFFSET(Planilha1!A1,Planilha3!D45,3))</f>
        <v>0</v>
      </c>
      <c r="H45">
        <f ca="1">IF(D45=0,0,OFFSET(Planilha1!A1,Planilha3!D45,4))</f>
        <v>0</v>
      </c>
    </row>
    <row r="46" spans="1:8" x14ac:dyDescent="0.25">
      <c r="A46">
        <v>45</v>
      </c>
      <c r="B46">
        <f>Planilha2!C47</f>
        <v>0</v>
      </c>
      <c r="C46">
        <f>IFERROR(IF(LOOKUP(B46,Planilha1!A2:A130)=B46,B46,0),0)</f>
        <v>0</v>
      </c>
      <c r="D46">
        <f>IFERROR(MATCH(C46,Planilha1!A2:A130),0)</f>
        <v>0</v>
      </c>
      <c r="E46">
        <f ca="1">IF(D46=0,0,OFFSET(Planilha1!A1,Planilha3!D46,1))</f>
        <v>0</v>
      </c>
      <c r="F46">
        <f ca="1">IF(D46=0,,OFFSET(Planilha1!A1,Planilha3!D46,2))</f>
        <v>0</v>
      </c>
      <c r="G46">
        <f ca="1">IF(D46=0,0,OFFSET(Planilha1!A1,Planilha3!D46,3))</f>
        <v>0</v>
      </c>
      <c r="H46">
        <f ca="1">IF(D46=0,0,OFFSET(Planilha1!A1,Planilha3!D46,4))</f>
        <v>0</v>
      </c>
    </row>
    <row r="47" spans="1:8" x14ac:dyDescent="0.25">
      <c r="A47">
        <v>46</v>
      </c>
      <c r="B47">
        <f>Planilha2!C48</f>
        <v>0</v>
      </c>
      <c r="C47">
        <f>IFERROR(IF(LOOKUP(B47,Planilha1!A2:A130)=B47,B47,0),0)</f>
        <v>0</v>
      </c>
      <c r="D47">
        <f>IFERROR(MATCH(C47,Planilha1!A2:A130),0)</f>
        <v>0</v>
      </c>
      <c r="E47">
        <f ca="1">IF(D47=0,0,OFFSET(Planilha1!A1,Planilha3!D47,1))</f>
        <v>0</v>
      </c>
      <c r="F47">
        <f ca="1">IF(D47=0,,OFFSET(Planilha1!A1,Planilha3!D47,2))</f>
        <v>0</v>
      </c>
      <c r="G47">
        <f ca="1">IF(D47=0,0,OFFSET(Planilha1!A1,Planilha3!D47,3))</f>
        <v>0</v>
      </c>
      <c r="H47">
        <f ca="1">IF(D47=0,0,OFFSET(Planilha1!A1,Planilha3!D47,4))</f>
        <v>0</v>
      </c>
    </row>
    <row r="48" spans="1:8" x14ac:dyDescent="0.25">
      <c r="A48">
        <v>47</v>
      </c>
      <c r="B48">
        <f>Planilha2!C49</f>
        <v>0</v>
      </c>
      <c r="C48">
        <f>IFERROR(IF(LOOKUP(B48,Planilha1!A2:A130)=B48,B48,0),0)</f>
        <v>0</v>
      </c>
      <c r="D48">
        <f>IFERROR(MATCH(C48,Planilha1!A2:A130),0)</f>
        <v>0</v>
      </c>
      <c r="E48">
        <f ca="1">IF(D48=0,0,OFFSET(Planilha1!A1,Planilha3!D48,1))</f>
        <v>0</v>
      </c>
      <c r="F48">
        <f ca="1">IF(D48=0,,OFFSET(Planilha1!A1,Planilha3!D48,2))</f>
        <v>0</v>
      </c>
      <c r="G48">
        <f ca="1">IF(D48=0,0,OFFSET(Planilha1!A1,Planilha3!D48,3))</f>
        <v>0</v>
      </c>
      <c r="H48">
        <f ca="1">IF(D48=0,0,OFFSET(Planilha1!A1,Planilha3!D48,4))</f>
        <v>0</v>
      </c>
    </row>
    <row r="49" spans="1:8" x14ac:dyDescent="0.25">
      <c r="A49">
        <v>48</v>
      </c>
      <c r="B49">
        <f>Planilha2!C50</f>
        <v>0</v>
      </c>
      <c r="C49">
        <f>IFERROR(IF(LOOKUP(B49,Planilha1!A2:A130)=B49,B49,0),0)</f>
        <v>0</v>
      </c>
      <c r="D49">
        <f>IFERROR(MATCH(C49,Planilha1!A2:A130),0)</f>
        <v>0</v>
      </c>
      <c r="E49">
        <f ca="1">IF(D49=0,0,OFFSET(Planilha1!A1,Planilha3!D49,1))</f>
        <v>0</v>
      </c>
      <c r="F49">
        <f ca="1">IF(D49=0,,OFFSET(Planilha1!A1,Planilha3!D49,2))</f>
        <v>0</v>
      </c>
      <c r="G49">
        <f ca="1">IF(D49=0,0,OFFSET(Planilha1!A1,Planilha3!D49,3))</f>
        <v>0</v>
      </c>
      <c r="H49">
        <f ca="1">IF(D49=0,0,OFFSET(Planilha1!A1,Planilha3!D49,4))</f>
        <v>0</v>
      </c>
    </row>
    <row r="50" spans="1:8" x14ac:dyDescent="0.25">
      <c r="A50">
        <v>49</v>
      </c>
      <c r="B50">
        <f>Planilha2!C51</f>
        <v>0</v>
      </c>
      <c r="C50">
        <f>IFERROR(IF(LOOKUP(B50,Planilha1!A2:A130)=B50,B50,0),0)</f>
        <v>0</v>
      </c>
      <c r="D50">
        <f>IFERROR(MATCH(C50,Planilha1!A2:A130),0)</f>
        <v>0</v>
      </c>
      <c r="E50">
        <f ca="1">IF(D50=0,0,OFFSET(Planilha1!A1,Planilha3!D50,1))</f>
        <v>0</v>
      </c>
      <c r="F50">
        <f ca="1">IF(D50=0,,OFFSET(Planilha1!A1,Planilha3!D50,2))</f>
        <v>0</v>
      </c>
      <c r="G50">
        <f ca="1">IF(D50=0,0,OFFSET(Planilha1!A1,Planilha3!D50,3))</f>
        <v>0</v>
      </c>
      <c r="H50">
        <f ca="1">IF(D50=0,0,OFFSET(Planilha1!A1,Planilha3!D50,4))</f>
        <v>0</v>
      </c>
    </row>
    <row r="51" spans="1:8" x14ac:dyDescent="0.25">
      <c r="A51">
        <v>50</v>
      </c>
      <c r="B51">
        <f>Planilha2!C52</f>
        <v>0</v>
      </c>
      <c r="C51">
        <f>IFERROR(IF(LOOKUP(B51,Planilha1!A2:A130)=B51,B51,0),0)</f>
        <v>0</v>
      </c>
      <c r="D51">
        <f>IFERROR(MATCH(C51,Planilha1!A2:A130),0)</f>
        <v>0</v>
      </c>
      <c r="E51">
        <f ca="1">IF(D51=0,0,OFFSET(Planilha1!A1,Planilha3!D51,1))</f>
        <v>0</v>
      </c>
      <c r="F51">
        <f ca="1">IF(D51=0,,OFFSET(Planilha1!A1,Planilha3!D51,2))</f>
        <v>0</v>
      </c>
      <c r="G51">
        <f ca="1">IF(D51=0,0,OFFSET(Planilha1!A1,Planilha3!D51,3))</f>
        <v>0</v>
      </c>
      <c r="H51">
        <f ca="1">IF(D51=0,0,OFFSET(Planilha1!A1,Planilha3!D51,4))</f>
        <v>0</v>
      </c>
    </row>
    <row r="52" spans="1:8" x14ac:dyDescent="0.25">
      <c r="A52">
        <v>51</v>
      </c>
      <c r="B52">
        <f>Planilha2!C53</f>
        <v>0</v>
      </c>
      <c r="C52">
        <f>IFERROR(IF(LOOKUP(B52,Planilha1!A2:A130)=B52,B52,0),0)</f>
        <v>0</v>
      </c>
      <c r="D52">
        <f>IFERROR(MATCH(C52,Planilha1!A2:A130),0)</f>
        <v>0</v>
      </c>
      <c r="E52">
        <f ca="1">IF(D52=0,0,OFFSET(Planilha1!A1,Planilha3!D52,1))</f>
        <v>0</v>
      </c>
      <c r="F52">
        <f ca="1">IF(D52=0,,OFFSET(Planilha1!A1,Planilha3!D52,2))</f>
        <v>0</v>
      </c>
      <c r="G52">
        <f ca="1">IF(D52=0,0,OFFSET(Planilha1!A1,Planilha3!D52,3))</f>
        <v>0</v>
      </c>
      <c r="H52">
        <f ca="1">IF(D52=0,0,OFFSET(Planilha1!A1,Planilha3!D52,4))</f>
        <v>0</v>
      </c>
    </row>
    <row r="53" spans="1:8" x14ac:dyDescent="0.25">
      <c r="A53">
        <v>52</v>
      </c>
      <c r="B53">
        <f>Planilha2!C54</f>
        <v>0</v>
      </c>
      <c r="C53">
        <f>IFERROR(IF(LOOKUP(B53,Planilha1!A2:A130)=B53,B53,0),0)</f>
        <v>0</v>
      </c>
      <c r="D53">
        <f>IFERROR(MATCH(C53,Planilha1!A2:A130),0)</f>
        <v>0</v>
      </c>
      <c r="E53">
        <f ca="1">IF(D53=0,0,OFFSET(Planilha1!A1,Planilha3!D53,1))</f>
        <v>0</v>
      </c>
      <c r="F53">
        <f ca="1">IF(D53=0,,OFFSET(Planilha1!A1,Planilha3!D53,2))</f>
        <v>0</v>
      </c>
      <c r="G53">
        <f ca="1">IF(D53=0,0,OFFSET(Planilha1!A1,Planilha3!D53,3))</f>
        <v>0</v>
      </c>
      <c r="H53">
        <f ca="1">IF(D53=0,0,OFFSET(Planilha1!A1,Planilha3!D53,4))</f>
        <v>0</v>
      </c>
    </row>
    <row r="54" spans="1:8" x14ac:dyDescent="0.25">
      <c r="A54">
        <v>53</v>
      </c>
      <c r="B54">
        <f>Planilha2!C55</f>
        <v>0</v>
      </c>
      <c r="C54">
        <f>IFERROR(IF(LOOKUP(B54,Planilha1!A2:A130)=B54,B54,0),0)</f>
        <v>0</v>
      </c>
      <c r="D54">
        <f>IFERROR(MATCH(C54,Planilha1!A2:A130),0)</f>
        <v>0</v>
      </c>
      <c r="E54">
        <f ca="1">IF(D54=0,0,OFFSET(Planilha1!A1,Planilha3!D54,1))</f>
        <v>0</v>
      </c>
      <c r="F54">
        <f ca="1">IF(D54=0,,OFFSET(Planilha1!A1,Planilha3!D54,2))</f>
        <v>0</v>
      </c>
      <c r="G54">
        <f ca="1">IF(D54=0,0,OFFSET(Planilha1!A1,Planilha3!D54,3))</f>
        <v>0</v>
      </c>
      <c r="H54">
        <f ca="1">IF(D54=0,0,OFFSET(Planilha1!A1,Planilha3!D54,4))</f>
        <v>0</v>
      </c>
    </row>
    <row r="55" spans="1:8" x14ac:dyDescent="0.25">
      <c r="A55">
        <v>54</v>
      </c>
      <c r="B55">
        <f>Planilha2!C56</f>
        <v>0</v>
      </c>
      <c r="C55">
        <f>IFERROR(IF(LOOKUP(B55,Planilha1!A2:A130)=B55,B55,0),0)</f>
        <v>0</v>
      </c>
      <c r="D55">
        <f>IFERROR(MATCH(C55,Planilha1!A2:A130),0)</f>
        <v>0</v>
      </c>
      <c r="E55">
        <f ca="1">IF(D55=0,0,OFFSET(Planilha1!A1,Planilha3!D55,1))</f>
        <v>0</v>
      </c>
      <c r="F55">
        <f ca="1">IF(D55=0,,OFFSET(Planilha1!A1,Planilha3!D55,2))</f>
        <v>0</v>
      </c>
      <c r="G55">
        <f ca="1">IF(D55=0,0,OFFSET(Planilha1!A1,Planilha3!D55,3))</f>
        <v>0</v>
      </c>
      <c r="H55">
        <f ca="1">IF(D55=0,0,OFFSET(Planilha1!A1,Planilha3!D55,4))</f>
        <v>0</v>
      </c>
    </row>
    <row r="56" spans="1:8" x14ac:dyDescent="0.25">
      <c r="A56">
        <v>55</v>
      </c>
      <c r="B56">
        <f>Planilha2!C57</f>
        <v>0</v>
      </c>
      <c r="C56">
        <f>IFERROR(IF(LOOKUP(B56,Planilha1!A2:A130)=B56,B56,0),0)</f>
        <v>0</v>
      </c>
      <c r="D56">
        <f>IFERROR(MATCH(C56,Planilha1!A2:A130),0)</f>
        <v>0</v>
      </c>
      <c r="E56">
        <f ca="1">IF(D56=0,0,OFFSET(Planilha1!A1,Planilha3!D56,1))</f>
        <v>0</v>
      </c>
      <c r="F56">
        <f ca="1">IF(D56=0,,OFFSET(Planilha1!A1,Planilha3!D56,2))</f>
        <v>0</v>
      </c>
      <c r="G56">
        <f ca="1">IF(D56=0,0,OFFSET(Planilha1!A1,Planilha3!D56,3))</f>
        <v>0</v>
      </c>
      <c r="H56">
        <f ca="1">IF(D56=0,0,OFFSET(Planilha1!A1,Planilha3!D56,4))</f>
        <v>0</v>
      </c>
    </row>
    <row r="57" spans="1:8" x14ac:dyDescent="0.25">
      <c r="A57">
        <v>56</v>
      </c>
      <c r="B57">
        <f>Planilha2!C58</f>
        <v>0</v>
      </c>
      <c r="C57">
        <f>IFERROR(IF(LOOKUP(B57,Planilha1!A2:A130)=B57,B57,0),0)</f>
        <v>0</v>
      </c>
      <c r="D57">
        <f>IFERROR(MATCH(C57,Planilha1!A2:A130),0)</f>
        <v>0</v>
      </c>
      <c r="E57">
        <f ca="1">IF(D57=0,0,OFFSET(Planilha1!A1,Planilha3!D57,1))</f>
        <v>0</v>
      </c>
      <c r="F57">
        <f ca="1">IF(D57=0,,OFFSET(Planilha1!A1,Planilha3!D57,2))</f>
        <v>0</v>
      </c>
      <c r="G57">
        <f ca="1">IF(D57=0,0,OFFSET(Planilha1!A1,Planilha3!D57,3))</f>
        <v>0</v>
      </c>
      <c r="H57">
        <f ca="1">IF(D57=0,0,OFFSET(Planilha1!A1,Planilha3!D57,4))</f>
        <v>0</v>
      </c>
    </row>
    <row r="58" spans="1:8" x14ac:dyDescent="0.25">
      <c r="A58">
        <v>57</v>
      </c>
      <c r="B58">
        <f>Planilha2!C59</f>
        <v>0</v>
      </c>
      <c r="C58">
        <f>IFERROR(IF(LOOKUP(B58,Planilha1!A2:A130)=B58,B58,0),0)</f>
        <v>0</v>
      </c>
      <c r="D58">
        <f>IFERROR(MATCH(C58,Planilha1!A2:A130),0)</f>
        <v>0</v>
      </c>
      <c r="E58">
        <f ca="1">IF(D58=0,0,OFFSET(Planilha1!A1,Planilha3!D58,1))</f>
        <v>0</v>
      </c>
      <c r="F58">
        <f ca="1">IF(D58=0,,OFFSET(Planilha1!A1,Planilha3!D58,2))</f>
        <v>0</v>
      </c>
      <c r="G58">
        <f ca="1">IF(D58=0,0,OFFSET(Planilha1!A1,Planilha3!D58,3))</f>
        <v>0</v>
      </c>
      <c r="H58">
        <f ca="1">IF(D58=0,0,OFFSET(Planilha1!A1,Planilha3!D58,4))</f>
        <v>0</v>
      </c>
    </row>
    <row r="59" spans="1:8" x14ac:dyDescent="0.25">
      <c r="A59">
        <v>58</v>
      </c>
      <c r="B59">
        <f>Planilha2!C60</f>
        <v>0</v>
      </c>
      <c r="C59">
        <f>IFERROR(IF(LOOKUP(B59,Planilha1!A2:A130)=B59,B59,0),0)</f>
        <v>0</v>
      </c>
      <c r="D59">
        <f>IFERROR(MATCH(C59,Planilha1!A2:A130),0)</f>
        <v>0</v>
      </c>
      <c r="E59">
        <f ca="1">IF(D59=0,0,OFFSET(Planilha1!A1,Planilha3!D59,1))</f>
        <v>0</v>
      </c>
      <c r="F59">
        <f ca="1">IF(D59=0,,OFFSET(Planilha1!A1,Planilha3!D59,2))</f>
        <v>0</v>
      </c>
      <c r="G59">
        <f ca="1">IF(D59=0,0,OFFSET(Planilha1!A1,Planilha3!D59,3))</f>
        <v>0</v>
      </c>
      <c r="H59">
        <f ca="1">IF(D59=0,0,OFFSET(Planilha1!A1,Planilha3!D59,4))</f>
        <v>0</v>
      </c>
    </row>
    <row r="60" spans="1:8" x14ac:dyDescent="0.25">
      <c r="A60">
        <v>59</v>
      </c>
      <c r="B60">
        <f>Planilha2!C61</f>
        <v>0</v>
      </c>
      <c r="C60">
        <f>IFERROR(IF(LOOKUP(B60,Planilha1!A2:A130)=B60,B60,0),0)</f>
        <v>0</v>
      </c>
      <c r="D60">
        <f>IFERROR(MATCH(C60,Planilha1!A2:A130),0)</f>
        <v>0</v>
      </c>
      <c r="E60">
        <f ca="1">IF(D60=0,0,OFFSET(Planilha1!A1,Planilha3!D60,1))</f>
        <v>0</v>
      </c>
      <c r="F60">
        <f ca="1">IF(D60=0,,OFFSET(Planilha1!A1,Planilha3!D60,2))</f>
        <v>0</v>
      </c>
      <c r="G60">
        <f ca="1">IF(D60=0,0,OFFSET(Planilha1!A1,Planilha3!D60,3))</f>
        <v>0</v>
      </c>
      <c r="H60">
        <f ca="1">IF(D60=0,0,OFFSET(Planilha1!A1,Planilha3!D60,4))</f>
        <v>0</v>
      </c>
    </row>
    <row r="61" spans="1:8" x14ac:dyDescent="0.25">
      <c r="A61">
        <v>60</v>
      </c>
      <c r="B61">
        <f>Planilha2!C62</f>
        <v>0</v>
      </c>
      <c r="C61">
        <f>IFERROR(IF(LOOKUP(B61,Planilha1!A2:A130)=B61,B61,0),0)</f>
        <v>0</v>
      </c>
      <c r="D61">
        <f>IFERROR(MATCH(C61,Planilha1!A2:A130),0)</f>
        <v>0</v>
      </c>
      <c r="E61">
        <f ca="1">IF(D61=0,0,OFFSET(Planilha1!A1,Planilha3!D61,1))</f>
        <v>0</v>
      </c>
      <c r="F61">
        <f ca="1">IF(D61=0,,OFFSET(Planilha1!A1,Planilha3!D61,2))</f>
        <v>0</v>
      </c>
      <c r="G61">
        <f ca="1">IF(D61=0,0,OFFSET(Planilha1!A1,Planilha3!D61,3))</f>
        <v>0</v>
      </c>
      <c r="H61">
        <f ca="1">IF(D61=0,0,OFFSET(Planilha1!A1,Planilha3!D61,4))</f>
        <v>0</v>
      </c>
    </row>
    <row r="62" spans="1:8" x14ac:dyDescent="0.25">
      <c r="A62">
        <v>61</v>
      </c>
      <c r="B62">
        <f>Planilha2!C63</f>
        <v>0</v>
      </c>
      <c r="C62">
        <f>IFERROR(IF(LOOKUP(B62,Planilha1!A2:A130)=B62,B62,0),0)</f>
        <v>0</v>
      </c>
      <c r="D62">
        <f>IFERROR(MATCH(C62,Planilha1!A2:A130),0)</f>
        <v>0</v>
      </c>
      <c r="E62">
        <f ca="1">IF(D62=0,0,OFFSET(Planilha1!A1,Planilha3!D62,1))</f>
        <v>0</v>
      </c>
      <c r="F62">
        <f ca="1">IF(D62=0,,OFFSET(Planilha1!A1,Planilha3!D62,2))</f>
        <v>0</v>
      </c>
      <c r="G62">
        <f ca="1">IF(D62=0,0,OFFSET(Planilha1!A1,Planilha3!D62,3))</f>
        <v>0</v>
      </c>
      <c r="H62">
        <f ca="1">IF(D62=0,0,OFFSET(Planilha1!A1,Planilha3!D62,4))</f>
        <v>0</v>
      </c>
    </row>
    <row r="63" spans="1:8" x14ac:dyDescent="0.25">
      <c r="A63">
        <v>62</v>
      </c>
      <c r="B63">
        <f>Planilha2!C64</f>
        <v>0</v>
      </c>
      <c r="C63">
        <f>IFERROR(IF(LOOKUP(B63,Planilha1!A2:A130)=B63,B63,0),0)</f>
        <v>0</v>
      </c>
      <c r="D63">
        <f>IFERROR(MATCH(C63,Planilha1!A2:A130),0)</f>
        <v>0</v>
      </c>
      <c r="E63">
        <f ca="1">IF(D63=0,0,OFFSET(Planilha1!A1,Planilha3!D63,1))</f>
        <v>0</v>
      </c>
      <c r="F63">
        <f ca="1">IF(D63=0,,OFFSET(Planilha1!A1,Planilha3!D63,2))</f>
        <v>0</v>
      </c>
      <c r="G63">
        <f ca="1">IF(D63=0,0,OFFSET(Planilha1!A1,Planilha3!D63,3))</f>
        <v>0</v>
      </c>
      <c r="H63">
        <f ca="1">IF(D63=0,0,OFFSET(Planilha1!A1,Planilha3!D63,4))</f>
        <v>0</v>
      </c>
    </row>
    <row r="64" spans="1:8" x14ac:dyDescent="0.25">
      <c r="A64">
        <v>63</v>
      </c>
      <c r="B64">
        <f>Planilha2!C65</f>
        <v>0</v>
      </c>
      <c r="C64">
        <f>IFERROR(IF(LOOKUP(B64,Planilha1!A2:A130)=B64,B64,0),0)</f>
        <v>0</v>
      </c>
      <c r="D64">
        <f>IFERROR(MATCH(C64,Planilha1!A2:A130),0)</f>
        <v>0</v>
      </c>
      <c r="E64">
        <f ca="1">IF(D64=0,0,OFFSET(Planilha1!A1,Planilha3!D64,1))</f>
        <v>0</v>
      </c>
      <c r="F64">
        <f ca="1">IF(D64=0,,OFFSET(Planilha1!A1,Planilha3!D64,2))</f>
        <v>0</v>
      </c>
      <c r="G64">
        <f ca="1">IF(D64=0,0,OFFSET(Planilha1!A1,Planilha3!D64,3))</f>
        <v>0</v>
      </c>
      <c r="H64">
        <f ca="1">IF(D64=0,0,OFFSET(Planilha1!A1,Planilha3!D64,4))</f>
        <v>0</v>
      </c>
    </row>
    <row r="65" spans="1:8" x14ac:dyDescent="0.25">
      <c r="A65">
        <v>64</v>
      </c>
      <c r="B65">
        <f>Planilha2!C66</f>
        <v>0</v>
      </c>
      <c r="C65">
        <f>IFERROR(IF(LOOKUP(B65,Planilha1!A2:A130)=B65,B65,0),0)</f>
        <v>0</v>
      </c>
      <c r="D65">
        <f>IFERROR(MATCH(C65,Planilha1!A2:A130),0)</f>
        <v>0</v>
      </c>
      <c r="E65">
        <f ca="1">IF(D65=0,0,OFFSET(Planilha1!A1,Planilha3!D65,1))</f>
        <v>0</v>
      </c>
      <c r="F65">
        <f ca="1">IF(D65=0,,OFFSET(Planilha1!A1,Planilha3!D65,2))</f>
        <v>0</v>
      </c>
      <c r="G65">
        <f ca="1">IF(D65=0,0,OFFSET(Planilha1!A1,Planilha3!D65,3))</f>
        <v>0</v>
      </c>
      <c r="H65">
        <f ca="1">IF(D65=0,0,OFFSET(Planilha1!A1,Planilha3!D65,4))</f>
        <v>0</v>
      </c>
    </row>
    <row r="66" spans="1:8" x14ac:dyDescent="0.25">
      <c r="A66">
        <v>65</v>
      </c>
      <c r="B66">
        <f>Planilha2!C67</f>
        <v>0</v>
      </c>
      <c r="C66">
        <f>IFERROR(IF(LOOKUP(B66,Planilha1!A2:A130)=B66,B66,0),0)</f>
        <v>0</v>
      </c>
      <c r="D66">
        <f>IFERROR(MATCH(C66,Planilha1!A2:A130),0)</f>
        <v>0</v>
      </c>
      <c r="E66">
        <f ca="1">IF(D66=0,0,OFFSET(Planilha1!A1,Planilha3!D66,1))</f>
        <v>0</v>
      </c>
      <c r="F66">
        <f ca="1">IF(D66=0,,OFFSET(Planilha1!A1,Planilha3!D66,2))</f>
        <v>0</v>
      </c>
      <c r="G66">
        <f ca="1">IF(D66=0,0,OFFSET(Planilha1!A1,Planilha3!D66,3))</f>
        <v>0</v>
      </c>
      <c r="H66">
        <f ca="1">IF(D66=0,0,OFFSET(Planilha1!A1,Planilha3!D66,4))</f>
        <v>0</v>
      </c>
    </row>
    <row r="67" spans="1:8" x14ac:dyDescent="0.25">
      <c r="A67">
        <v>66</v>
      </c>
      <c r="B67">
        <f>Planilha2!C68</f>
        <v>0</v>
      </c>
      <c r="C67">
        <f>IFERROR(IF(LOOKUP(B67,Planilha1!A2:A130)=B67,B67,0),0)</f>
        <v>0</v>
      </c>
      <c r="D67">
        <f>IFERROR(MATCH(C67,Planilha1!A2:A130),0)</f>
        <v>0</v>
      </c>
      <c r="E67">
        <f ca="1">IF(D67=0,0,OFFSET(Planilha1!A1,Planilha3!D67,1))</f>
        <v>0</v>
      </c>
      <c r="F67">
        <f ca="1">IF(D67=0,,OFFSET(Planilha1!A1,Planilha3!D67,2))</f>
        <v>0</v>
      </c>
      <c r="G67">
        <f ca="1">IF(D67=0,0,OFFSET(Planilha1!A1,Planilha3!D67,3))</f>
        <v>0</v>
      </c>
      <c r="H67">
        <f ca="1">IF(D67=0,0,OFFSET(Planilha1!A1,Planilha3!D67,4))</f>
        <v>0</v>
      </c>
    </row>
    <row r="68" spans="1:8" x14ac:dyDescent="0.25">
      <c r="A68">
        <v>67</v>
      </c>
      <c r="B68">
        <f>Planilha2!C69</f>
        <v>0</v>
      </c>
      <c r="C68">
        <f>IFERROR(IF(LOOKUP(B68,Planilha1!A2:A130)=B68,B68,0),0)</f>
        <v>0</v>
      </c>
      <c r="D68">
        <f>IFERROR(MATCH(C68,Planilha1!A2:A130),0)</f>
        <v>0</v>
      </c>
      <c r="E68">
        <f ca="1">IF(D68=0,0,OFFSET(Planilha1!A1,Planilha3!D68,1))</f>
        <v>0</v>
      </c>
      <c r="F68">
        <f ca="1">IF(D68=0,,OFFSET(Planilha1!A1,Planilha3!D68,2))</f>
        <v>0</v>
      </c>
      <c r="G68">
        <f ca="1">IF(D68=0,0,OFFSET(Planilha1!A1,Planilha3!D68,3))</f>
        <v>0</v>
      </c>
      <c r="H68">
        <f ca="1">IF(D68=0,0,OFFSET(Planilha1!A1,Planilha3!D68,4))</f>
        <v>0</v>
      </c>
    </row>
    <row r="69" spans="1:8" x14ac:dyDescent="0.25">
      <c r="A69">
        <v>68</v>
      </c>
      <c r="B69">
        <f>Planilha2!C70</f>
        <v>0</v>
      </c>
      <c r="C69">
        <f>IFERROR(IF(LOOKUP(B69,Planilha1!A2:A130)=B69,B69,0),0)</f>
        <v>0</v>
      </c>
      <c r="D69">
        <f>IFERROR(MATCH(C69,Planilha1!A2:A130),0)</f>
        <v>0</v>
      </c>
      <c r="E69">
        <f ca="1">IF(D69=0,0,OFFSET(Planilha1!A1,Planilha3!D69,1))</f>
        <v>0</v>
      </c>
      <c r="F69">
        <f ca="1">IF(D69=0,,OFFSET(Planilha1!A1,Planilha3!D69,2))</f>
        <v>0</v>
      </c>
      <c r="G69">
        <f ca="1">IF(D69=0,0,OFFSET(Planilha1!A1,Planilha3!D69,3))</f>
        <v>0</v>
      </c>
      <c r="H69">
        <f ca="1">IF(D69=0,0,OFFSET(Planilha1!A1,Planilha3!D69,4))</f>
        <v>0</v>
      </c>
    </row>
    <row r="70" spans="1:8" x14ac:dyDescent="0.25">
      <c r="A70">
        <v>69</v>
      </c>
      <c r="B70">
        <f>Planilha2!C71</f>
        <v>0</v>
      </c>
      <c r="C70">
        <f>IFERROR(IF(LOOKUP(B70,Planilha1!A2:A130)=B70,B70,0),0)</f>
        <v>0</v>
      </c>
      <c r="D70">
        <f>IFERROR(MATCH(C70,Planilha1!A2:A130),0)</f>
        <v>0</v>
      </c>
      <c r="E70">
        <f ca="1">IF(D70=0,0,OFFSET(Planilha1!A1,Planilha3!D70,1))</f>
        <v>0</v>
      </c>
      <c r="F70">
        <f ca="1">IF(D70=0,,OFFSET(Planilha1!A1,Planilha3!D70,2))</f>
        <v>0</v>
      </c>
      <c r="G70">
        <f ca="1">IF(D70=0,0,OFFSET(Planilha1!A1,Planilha3!D70,3))</f>
        <v>0</v>
      </c>
      <c r="H70">
        <f ca="1">IF(D70=0,0,OFFSET(Planilha1!A1,Planilha3!D70,4))</f>
        <v>0</v>
      </c>
    </row>
    <row r="71" spans="1:8" x14ac:dyDescent="0.25">
      <c r="A71">
        <v>70</v>
      </c>
      <c r="B71">
        <f>Planilha2!C72</f>
        <v>0</v>
      </c>
      <c r="C71">
        <f>IFERROR(IF(LOOKUP(B71,Planilha1!A2:A130)=B71,B71,0),0)</f>
        <v>0</v>
      </c>
      <c r="D71">
        <f>IFERROR(MATCH(C71,Planilha1!A2:A130),0)</f>
        <v>0</v>
      </c>
      <c r="E71">
        <f ca="1">IF(D71=0,0,OFFSET(Planilha1!A1,Planilha3!D71,1))</f>
        <v>0</v>
      </c>
      <c r="F71">
        <f ca="1">IF(D71=0,,OFFSET(Planilha1!A1,Planilha3!D71,2))</f>
        <v>0</v>
      </c>
      <c r="G71">
        <f ca="1">IF(D71=0,0,OFFSET(Planilha1!A1,Planilha3!D71,3))</f>
        <v>0</v>
      </c>
      <c r="H71">
        <f ca="1">IF(D71=0,0,OFFSET(Planilha1!A1,Planilha3!D71,4))</f>
        <v>0</v>
      </c>
    </row>
    <row r="72" spans="1:8" x14ac:dyDescent="0.25">
      <c r="A72">
        <v>71</v>
      </c>
      <c r="B72">
        <f>Planilha2!C73</f>
        <v>0</v>
      </c>
      <c r="C72">
        <f>IFERROR(IF(LOOKUP(B72,Planilha1!A2:A130)=B72,B72,0),0)</f>
        <v>0</v>
      </c>
      <c r="D72">
        <f>IFERROR(MATCH(C72,Planilha1!A2:A130),0)</f>
        <v>0</v>
      </c>
      <c r="E72">
        <f ca="1">IF(D72=0,0,OFFSET(Planilha1!A1,Planilha3!D72,1))</f>
        <v>0</v>
      </c>
      <c r="F72">
        <f ca="1">IF(D72=0,,OFFSET(Planilha1!A1,Planilha3!D72,2))</f>
        <v>0</v>
      </c>
      <c r="G72">
        <f ca="1">IF(D72=0,0,OFFSET(Planilha1!A1,Planilha3!D72,3))</f>
        <v>0</v>
      </c>
      <c r="H72">
        <f ca="1">IF(D72=0,0,OFFSET(Planilha1!A1,Planilha3!D72,4))</f>
        <v>0</v>
      </c>
    </row>
    <row r="73" spans="1:8" x14ac:dyDescent="0.25">
      <c r="A73">
        <v>72</v>
      </c>
      <c r="B73">
        <f>Planilha2!C74</f>
        <v>0</v>
      </c>
      <c r="C73">
        <f>IFERROR(IF(LOOKUP(B73,Planilha1!A2:A130)=B73,B73,0),0)</f>
        <v>0</v>
      </c>
      <c r="D73">
        <f>IFERROR(MATCH(C73,Planilha1!A2:A130),0)</f>
        <v>0</v>
      </c>
      <c r="E73">
        <f ca="1">IF(D73=0,0,OFFSET(Planilha1!A1,Planilha3!D73,1))</f>
        <v>0</v>
      </c>
      <c r="F73">
        <f ca="1">IF(D73=0,,OFFSET(Planilha1!A1,Planilha3!D73,2))</f>
        <v>0</v>
      </c>
      <c r="G73">
        <f ca="1">IF(D73=0,0,OFFSET(Planilha1!A1,Planilha3!D73,3))</f>
        <v>0</v>
      </c>
      <c r="H73">
        <f ca="1">IF(D73=0,0,OFFSET(Planilha1!A1,Planilha3!D73,4))</f>
        <v>0</v>
      </c>
    </row>
    <row r="74" spans="1:8" x14ac:dyDescent="0.25">
      <c r="A74">
        <v>73</v>
      </c>
      <c r="B74">
        <f>Planilha2!C75</f>
        <v>0</v>
      </c>
      <c r="C74">
        <f>IFERROR(IF(LOOKUP(B74,Planilha1!A2:A130)=B74,B74,0),0)</f>
        <v>0</v>
      </c>
      <c r="D74">
        <f>IFERROR(MATCH(C74,Planilha1!A2:A130),0)</f>
        <v>0</v>
      </c>
      <c r="E74">
        <f ca="1">IF(D74=0,0,OFFSET(Planilha1!A1,Planilha3!D74,1))</f>
        <v>0</v>
      </c>
      <c r="F74">
        <f ca="1">IF(D74=0,,OFFSET(Planilha1!A1,Planilha3!D74,2))</f>
        <v>0</v>
      </c>
      <c r="G74">
        <f ca="1">IF(D74=0,0,OFFSET(Planilha1!A1,Planilha3!D74,3))</f>
        <v>0</v>
      </c>
      <c r="H74">
        <f ca="1">IF(D74=0,0,OFFSET(Planilha1!A1,Planilha3!D74,4))</f>
        <v>0</v>
      </c>
    </row>
    <row r="75" spans="1:8" x14ac:dyDescent="0.25">
      <c r="A75">
        <v>74</v>
      </c>
      <c r="B75">
        <f>Planilha2!C76</f>
        <v>0</v>
      </c>
      <c r="C75">
        <f>IFERROR(IF(LOOKUP(B75,Planilha1!A2:A130)=B75,B75,0),0)</f>
        <v>0</v>
      </c>
      <c r="D75">
        <f>IFERROR(MATCH(C75,Planilha1!A2:A130),0)</f>
        <v>0</v>
      </c>
      <c r="E75">
        <f ca="1">IF(D75=0,0,OFFSET(Planilha1!A1,Planilha3!D75,1))</f>
        <v>0</v>
      </c>
      <c r="F75">
        <f ca="1">IF(D75=0,,OFFSET(Planilha1!A1,Planilha3!D75,2))</f>
        <v>0</v>
      </c>
      <c r="G75">
        <f ca="1">IF(D75=0,0,OFFSET(Planilha1!A1,Planilha3!D75,3))</f>
        <v>0</v>
      </c>
      <c r="H75">
        <f ca="1">IF(D75=0,0,OFFSET(Planilha1!A1,Planilha3!D75,4))</f>
        <v>0</v>
      </c>
    </row>
    <row r="76" spans="1:8" x14ac:dyDescent="0.25">
      <c r="A76">
        <v>75</v>
      </c>
      <c r="B76">
        <f>Planilha2!C77</f>
        <v>0</v>
      </c>
      <c r="C76">
        <f>IFERROR(IF(LOOKUP(B76,Planilha1!A2:A130)=B76,B76,0),0)</f>
        <v>0</v>
      </c>
      <c r="D76">
        <f>IFERROR(MATCH(C76,Planilha1!A2:A130),0)</f>
        <v>0</v>
      </c>
      <c r="E76">
        <f ca="1">IF(D76=0,0,OFFSET(Planilha1!A1,Planilha3!D76,1))</f>
        <v>0</v>
      </c>
      <c r="F76">
        <f ca="1">IF(D76=0,,OFFSET(Planilha1!A1,Planilha3!D76,2))</f>
        <v>0</v>
      </c>
      <c r="G76">
        <f ca="1">IF(D76=0,0,OFFSET(Planilha1!A1,Planilha3!D76,3))</f>
        <v>0</v>
      </c>
      <c r="H76">
        <f ca="1">IF(D76=0,0,OFFSET(Planilha1!A1,Planilha3!D76,4))</f>
        <v>0</v>
      </c>
    </row>
    <row r="77" spans="1:8" x14ac:dyDescent="0.25">
      <c r="A77">
        <v>76</v>
      </c>
      <c r="B77">
        <f>Planilha2!C78</f>
        <v>0</v>
      </c>
      <c r="C77">
        <f>IFERROR(IF(LOOKUP(B77,Planilha1!A2:A130)=B77,B77,0),0)</f>
        <v>0</v>
      </c>
      <c r="D77">
        <f>IFERROR(MATCH(C77,Planilha1!A2:A130),0)</f>
        <v>0</v>
      </c>
      <c r="E77">
        <f ca="1">IF(D77=0,0,OFFSET(Planilha1!A1,Planilha3!D77,1))</f>
        <v>0</v>
      </c>
      <c r="F77">
        <f ca="1">IF(D77=0,,OFFSET(Planilha1!A1,Planilha3!D77,2))</f>
        <v>0</v>
      </c>
      <c r="G77">
        <f ca="1">IF(D77=0,0,OFFSET(Planilha1!A1,Planilha3!D77,3))</f>
        <v>0</v>
      </c>
      <c r="H77">
        <f ca="1">IF(D77=0,0,OFFSET(Planilha1!A1,Planilha3!D77,4))</f>
        <v>0</v>
      </c>
    </row>
    <row r="78" spans="1:8" x14ac:dyDescent="0.25">
      <c r="A78">
        <v>77</v>
      </c>
      <c r="B78">
        <f>Planilha2!C79</f>
        <v>0</v>
      </c>
      <c r="C78">
        <f>IFERROR(IF(LOOKUP(B78,Planilha1!A2:A130)=B78,B78,0),0)</f>
        <v>0</v>
      </c>
      <c r="D78">
        <f>IFERROR(MATCH(C78,Planilha1!A2:A130),0)</f>
        <v>0</v>
      </c>
      <c r="E78">
        <f ca="1">IF(D78=0,0,OFFSET(Planilha1!A1,Planilha3!D78,1))</f>
        <v>0</v>
      </c>
      <c r="F78">
        <f ca="1">IF(D78=0,,OFFSET(Planilha1!A1,Planilha3!D78,2))</f>
        <v>0</v>
      </c>
      <c r="G78">
        <f ca="1">IF(D78=0,0,OFFSET(Planilha1!A1,Planilha3!D78,3))</f>
        <v>0</v>
      </c>
      <c r="H78">
        <f ca="1">IF(D78=0,0,OFFSET(Planilha1!A1,Planilha3!D78,4))</f>
        <v>0</v>
      </c>
    </row>
    <row r="79" spans="1:8" x14ac:dyDescent="0.25">
      <c r="A79">
        <v>78</v>
      </c>
      <c r="B79">
        <f>Planilha2!C80</f>
        <v>0</v>
      </c>
      <c r="C79">
        <f>IFERROR(IF(LOOKUP(B79,Planilha1!A2:A130)=B79,B79,0),0)</f>
        <v>0</v>
      </c>
      <c r="D79">
        <f>IFERROR(MATCH(C79,Planilha1!A2:A130),0)</f>
        <v>0</v>
      </c>
      <c r="E79">
        <f ca="1">IF(D79=0,0,OFFSET(Planilha1!A1,Planilha3!D79,1))</f>
        <v>0</v>
      </c>
      <c r="F79">
        <f ca="1">IF(D79=0,,OFFSET(Planilha1!A1,Planilha3!D79,2))</f>
        <v>0</v>
      </c>
      <c r="G79">
        <f ca="1">IF(D79=0,0,OFFSET(Planilha1!A1,Planilha3!D79,3))</f>
        <v>0</v>
      </c>
      <c r="H79">
        <f ca="1">IF(D79=0,0,OFFSET(Planilha1!A1,Planilha3!D79,4))</f>
        <v>0</v>
      </c>
    </row>
    <row r="80" spans="1:8" x14ac:dyDescent="0.25">
      <c r="A80">
        <v>79</v>
      </c>
      <c r="B80">
        <f>Planilha2!C81</f>
        <v>0</v>
      </c>
      <c r="C80">
        <f>IFERROR(IF(LOOKUP(B80,Planilha1!A2:A130)=B80,B80,0),0)</f>
        <v>0</v>
      </c>
      <c r="D80">
        <f>IFERROR(MATCH(C80,Planilha1!A2:A130),0)</f>
        <v>0</v>
      </c>
      <c r="E80">
        <f ca="1">IF(D80=0,0,OFFSET(Planilha1!A1,Planilha3!D80,1))</f>
        <v>0</v>
      </c>
      <c r="F80">
        <f ca="1">IF(D80=0,,OFFSET(Planilha1!A1,Planilha3!D80,2))</f>
        <v>0</v>
      </c>
      <c r="G80">
        <f ca="1">IF(D80=0,0,OFFSET(Planilha1!A1,Planilha3!D80,3))</f>
        <v>0</v>
      </c>
      <c r="H80">
        <f ca="1">IF(D80=0,0,OFFSET(Planilha1!A1,Planilha3!D80,4))</f>
        <v>0</v>
      </c>
    </row>
    <row r="81" spans="1:8" x14ac:dyDescent="0.25">
      <c r="A81">
        <v>80</v>
      </c>
      <c r="B81">
        <f>Planilha2!C82</f>
        <v>0</v>
      </c>
      <c r="C81">
        <f>IFERROR(IF(LOOKUP(B81,Planilha1!A2:A130)=B81,B81,0),0)</f>
        <v>0</v>
      </c>
      <c r="D81">
        <f>IFERROR(MATCH(C81,Planilha1!A2:A130),0)</f>
        <v>0</v>
      </c>
      <c r="E81">
        <f ca="1">IF(D81=0,0,OFFSET(Planilha1!A1,Planilha3!D81,1))</f>
        <v>0</v>
      </c>
      <c r="F81">
        <f ca="1">IF(D81=0,,OFFSET(Planilha1!A1,Planilha3!D81,2))</f>
        <v>0</v>
      </c>
      <c r="G81">
        <f ca="1">IF(D81=0,0,OFFSET(Planilha1!A1,Planilha3!D81,3))</f>
        <v>0</v>
      </c>
      <c r="H81">
        <f ca="1">IF(D81=0,0,OFFSET(Planilha1!A1,Planilha3!D81,4))</f>
        <v>0</v>
      </c>
    </row>
    <row r="82" spans="1:8" x14ac:dyDescent="0.25">
      <c r="A82">
        <v>81</v>
      </c>
      <c r="B82">
        <f>Planilha2!C83</f>
        <v>0</v>
      </c>
      <c r="C82">
        <f>IFERROR(IF(LOOKUP(B82,Planilha1!A2:A130)=B82,B82,0),0)</f>
        <v>0</v>
      </c>
      <c r="D82">
        <f>IFERROR(MATCH(C82,Planilha1!A2:A130),0)</f>
        <v>0</v>
      </c>
      <c r="E82">
        <f ca="1">IF(D82=0,0,OFFSET(Planilha1!A1,Planilha3!D82,1))</f>
        <v>0</v>
      </c>
      <c r="F82">
        <f ca="1">IF(D82=0,,OFFSET(Planilha1!A1,Planilha3!D82,2))</f>
        <v>0</v>
      </c>
      <c r="G82">
        <f ca="1">IF(D82=0,0,OFFSET(Planilha1!A1,Planilha3!D82,3))</f>
        <v>0</v>
      </c>
      <c r="H82">
        <f ca="1">IF(D82=0,0,OFFSET(Planilha1!A1,Planilha3!D82,4))</f>
        <v>0</v>
      </c>
    </row>
    <row r="83" spans="1:8" x14ac:dyDescent="0.25">
      <c r="A83">
        <v>82</v>
      </c>
      <c r="B83">
        <f>Planilha2!C84</f>
        <v>0</v>
      </c>
      <c r="C83">
        <f>IFERROR(IF(LOOKUP(B83,Planilha1!A2:A130)=B83,B83,0),0)</f>
        <v>0</v>
      </c>
      <c r="D83">
        <f>IFERROR(MATCH(C83,Planilha1!A2:A130),0)</f>
        <v>0</v>
      </c>
      <c r="E83">
        <f ca="1">IF(D83=0,0,OFFSET(Planilha1!A1,Planilha3!D83,1))</f>
        <v>0</v>
      </c>
      <c r="F83">
        <f ca="1">IF(D83=0,,OFFSET(Planilha1!A1,Planilha3!D83,2))</f>
        <v>0</v>
      </c>
      <c r="G83">
        <f ca="1">IF(D83=0,0,OFFSET(Planilha1!A1,Planilha3!D83,3))</f>
        <v>0</v>
      </c>
      <c r="H83">
        <f ca="1">IF(D83=0,0,OFFSET(Planilha1!A1,Planilha3!D83,4))</f>
        <v>0</v>
      </c>
    </row>
    <row r="84" spans="1:8" x14ac:dyDescent="0.25">
      <c r="A84">
        <v>83</v>
      </c>
      <c r="B84">
        <f>Planilha2!C85</f>
        <v>0</v>
      </c>
      <c r="C84">
        <f>IFERROR(IF(LOOKUP(B84,Planilha1!A2:A130)=B84,B84,0),0)</f>
        <v>0</v>
      </c>
      <c r="D84">
        <f>IFERROR(MATCH(C84,Planilha1!A2:A130),0)</f>
        <v>0</v>
      </c>
      <c r="E84">
        <f ca="1">IF(D84=0,0,OFFSET(Planilha1!A1,Planilha3!D84,1))</f>
        <v>0</v>
      </c>
      <c r="F84">
        <f ca="1">IF(D84=0,,OFFSET(Planilha1!A1,Planilha3!D84,2))</f>
        <v>0</v>
      </c>
      <c r="G84">
        <f ca="1">IF(D84=0,0,OFFSET(Planilha1!A1,Planilha3!D84,3))</f>
        <v>0</v>
      </c>
      <c r="H84">
        <f ca="1">IF(D84=0,0,OFFSET(Planilha1!A1,Planilha3!D84,4))</f>
        <v>0</v>
      </c>
    </row>
    <row r="85" spans="1:8" x14ac:dyDescent="0.25">
      <c r="A85">
        <v>84</v>
      </c>
      <c r="B85">
        <f>Planilha2!C86</f>
        <v>0</v>
      </c>
      <c r="C85">
        <f>IFERROR(IF(LOOKUP(B85,Planilha1!A2:A130)=B85,B85,0),0)</f>
        <v>0</v>
      </c>
      <c r="D85">
        <f>IFERROR(MATCH(C85,Planilha1!A2:A130),0)</f>
        <v>0</v>
      </c>
      <c r="E85">
        <f ca="1">IF(D85=0,0,OFFSET(Planilha1!A1,Planilha3!D85,1))</f>
        <v>0</v>
      </c>
      <c r="F85">
        <f ca="1">IF(D85=0,,OFFSET(Planilha1!A1,Planilha3!D85,2))</f>
        <v>0</v>
      </c>
      <c r="G85">
        <f ca="1">IF(D85=0,0,OFFSET(Planilha1!A1,Planilha3!D85,3))</f>
        <v>0</v>
      </c>
      <c r="H85">
        <f ca="1">IF(D85=0,0,OFFSET(Planilha1!A1,Planilha3!D85,4))</f>
        <v>0</v>
      </c>
    </row>
    <row r="86" spans="1:8" x14ac:dyDescent="0.25">
      <c r="A86">
        <v>85</v>
      </c>
      <c r="B86">
        <f>Planilha2!C87</f>
        <v>0</v>
      </c>
      <c r="C86">
        <f>IFERROR(IF(LOOKUP(B86,Planilha1!A2:A130)=B86,B86,0),0)</f>
        <v>0</v>
      </c>
      <c r="D86">
        <f>IFERROR(MATCH(C86,Planilha1!A2:A130),0)</f>
        <v>0</v>
      </c>
      <c r="E86">
        <f ca="1">IF(D86=0,0,OFFSET(Planilha1!A1,Planilha3!D86,1))</f>
        <v>0</v>
      </c>
      <c r="F86">
        <f ca="1">IF(D86=0,,OFFSET(Planilha1!A1,Planilha3!D86,2))</f>
        <v>0</v>
      </c>
      <c r="G86">
        <f ca="1">IF(D86=0,0,OFFSET(Planilha1!A1,Planilha3!D86,3))</f>
        <v>0</v>
      </c>
      <c r="H86">
        <f ca="1">IF(D86=0,0,OFFSET(Planilha1!A1,Planilha3!D86,4))</f>
        <v>0</v>
      </c>
    </row>
    <row r="87" spans="1:8" x14ac:dyDescent="0.25">
      <c r="A87">
        <v>86</v>
      </c>
      <c r="B87">
        <f>Planilha2!C88</f>
        <v>0</v>
      </c>
      <c r="C87">
        <f>IFERROR(IF(LOOKUP(B87,Planilha1!A2:A130)=B87,B87,0),0)</f>
        <v>0</v>
      </c>
      <c r="D87">
        <f>IFERROR(MATCH(C87,Planilha1!A2:A130),0)</f>
        <v>0</v>
      </c>
      <c r="E87">
        <f ca="1">IF(D87=0,0,OFFSET(Planilha1!A1,Planilha3!D87,1))</f>
        <v>0</v>
      </c>
      <c r="F87">
        <f ca="1">IF(D87=0,,OFFSET(Planilha1!A1,Planilha3!D87,2))</f>
        <v>0</v>
      </c>
      <c r="G87">
        <f ca="1">IF(D87=0,0,OFFSET(Planilha1!A1,Planilha3!D87,3))</f>
        <v>0</v>
      </c>
      <c r="H87">
        <f ca="1">IF(D87=0,0,OFFSET(Planilha1!A1,Planilha3!D87,4))</f>
        <v>0</v>
      </c>
    </row>
    <row r="88" spans="1:8" x14ac:dyDescent="0.25">
      <c r="A88">
        <v>87</v>
      </c>
      <c r="B88">
        <f>Planilha2!C89</f>
        <v>0</v>
      </c>
      <c r="C88">
        <f>IFERROR(IF(LOOKUP(B88,Planilha1!A2:A130)=B88,B88,0),0)</f>
        <v>0</v>
      </c>
      <c r="D88">
        <f>IFERROR(MATCH(C88,Planilha1!A2:A130),0)</f>
        <v>0</v>
      </c>
      <c r="E88">
        <f ca="1">IF(D88=0,0,OFFSET(Planilha1!A1,Planilha3!D88,1))</f>
        <v>0</v>
      </c>
      <c r="F88">
        <f ca="1">IF(D88=0,,OFFSET(Planilha1!A1,Planilha3!D88,2))</f>
        <v>0</v>
      </c>
      <c r="G88">
        <f ca="1">IF(D88=0,0,OFFSET(Planilha1!A1,Planilha3!D88,3))</f>
        <v>0</v>
      </c>
      <c r="H88">
        <f ca="1">IF(D88=0,0,OFFSET(Planilha1!A1,Planilha3!D88,4))</f>
        <v>0</v>
      </c>
    </row>
    <row r="89" spans="1:8" x14ac:dyDescent="0.25">
      <c r="A89">
        <v>88</v>
      </c>
      <c r="B89">
        <f>Planilha2!C90</f>
        <v>0</v>
      </c>
      <c r="C89">
        <f>IFERROR(IF(LOOKUP(B89,Planilha1!A2:A130)=B89,B89,0),0)</f>
        <v>0</v>
      </c>
      <c r="D89">
        <f>IFERROR(MATCH(C89,Planilha1!A2:A130),0)</f>
        <v>0</v>
      </c>
      <c r="E89">
        <f ca="1">IF(D89=0,0,OFFSET(Planilha1!A1,Planilha3!D89,1))</f>
        <v>0</v>
      </c>
      <c r="F89">
        <f ca="1">IF(D89=0,,OFFSET(Planilha1!A1,Planilha3!D89,2))</f>
        <v>0</v>
      </c>
      <c r="G89">
        <f ca="1">IF(D89=0,0,OFFSET(Planilha1!A1,Planilha3!D89,3))</f>
        <v>0</v>
      </c>
      <c r="H89">
        <f ca="1">IF(D89=0,0,OFFSET(Planilha1!A1,Planilha3!D89,4))</f>
        <v>0</v>
      </c>
    </row>
    <row r="90" spans="1:8" x14ac:dyDescent="0.25">
      <c r="A90">
        <v>89</v>
      </c>
      <c r="B90">
        <f>Planilha2!C91</f>
        <v>0</v>
      </c>
      <c r="C90">
        <f>IFERROR(IF(LOOKUP(B90,Planilha1!A2:A130)=B90,B90,0),0)</f>
        <v>0</v>
      </c>
      <c r="D90">
        <f>IFERROR(MATCH(C90,Planilha1!A2:A130),0)</f>
        <v>0</v>
      </c>
      <c r="E90">
        <f ca="1">IF(D90=0,0,OFFSET(Planilha1!A1,Planilha3!D90,1))</f>
        <v>0</v>
      </c>
      <c r="F90">
        <f ca="1">IF(D90=0,,OFFSET(Planilha1!A1,Planilha3!D90,2))</f>
        <v>0</v>
      </c>
      <c r="G90">
        <f ca="1">IF(D90=0,0,OFFSET(Planilha1!A1,Planilha3!D90,3))</f>
        <v>0</v>
      </c>
      <c r="H90">
        <f ca="1">IF(D90=0,0,OFFSET(Planilha1!A1,Planilha3!D90,4))</f>
        <v>0</v>
      </c>
    </row>
    <row r="91" spans="1:8" x14ac:dyDescent="0.25">
      <c r="A91">
        <v>90</v>
      </c>
      <c r="B91">
        <f>Planilha2!C92</f>
        <v>0</v>
      </c>
      <c r="C91">
        <f>IFERROR(IF(LOOKUP(B91,Planilha1!A2:A130)=B91,B91,0),0)</f>
        <v>0</v>
      </c>
      <c r="D91">
        <f>IFERROR(MATCH(C91,Planilha1!A2:A130),0)</f>
        <v>0</v>
      </c>
      <c r="E91">
        <f ca="1">IF(D91=0,0,OFFSET(Planilha1!A1,Planilha3!D91,1))</f>
        <v>0</v>
      </c>
      <c r="F91">
        <f ca="1">IF(D91=0,,OFFSET(Planilha1!A1,Planilha3!D91,2))</f>
        <v>0</v>
      </c>
      <c r="G91">
        <f ca="1">IF(D91=0,0,OFFSET(Planilha1!A1,Planilha3!D91,3))</f>
        <v>0</v>
      </c>
      <c r="H91">
        <f ca="1">IF(D91=0,0,OFFSET(Planilha1!A1,Planilha3!D91,4))</f>
        <v>0</v>
      </c>
    </row>
    <row r="92" spans="1:8" x14ac:dyDescent="0.25">
      <c r="A92">
        <v>91</v>
      </c>
      <c r="B92">
        <f>Planilha2!C93</f>
        <v>0</v>
      </c>
      <c r="C92">
        <f>IFERROR(IF(LOOKUP(B92,Planilha1!A2:A130)=B92,B92,0),0)</f>
        <v>0</v>
      </c>
      <c r="D92">
        <f>IFERROR(MATCH(C92,Planilha1!A2:A130),0)</f>
        <v>0</v>
      </c>
      <c r="E92">
        <f ca="1">IF(D92=0,0,OFFSET(Planilha1!A1,Planilha3!D92,1))</f>
        <v>0</v>
      </c>
      <c r="F92">
        <f ca="1">IF(D92=0,,OFFSET(Planilha1!A1,Planilha3!D92,2))</f>
        <v>0</v>
      </c>
      <c r="G92">
        <f ca="1">IF(D92=0,0,OFFSET(Planilha1!A1,Planilha3!D92,3))</f>
        <v>0</v>
      </c>
      <c r="H92">
        <f ca="1">IF(D92=0,0,OFFSET(Planilha1!A1,Planilha3!D92,4))</f>
        <v>0</v>
      </c>
    </row>
    <row r="93" spans="1:8" x14ac:dyDescent="0.25">
      <c r="A93">
        <v>92</v>
      </c>
      <c r="B93">
        <f>Planilha2!C94</f>
        <v>0</v>
      </c>
      <c r="C93">
        <f>IFERROR(IF(LOOKUP(B93,Planilha1!A2:A130)=B93,B93,0),0)</f>
        <v>0</v>
      </c>
      <c r="D93">
        <f>IFERROR(MATCH(C93,Planilha1!A2:A130),0)</f>
        <v>0</v>
      </c>
      <c r="E93">
        <f ca="1">IF(D93=0,0,OFFSET(Planilha1!A1,Planilha3!D93,1))</f>
        <v>0</v>
      </c>
      <c r="F93">
        <f ca="1">IF(D93=0,,OFFSET(Planilha1!A1,Planilha3!D93,2))</f>
        <v>0</v>
      </c>
      <c r="G93">
        <f ca="1">IF(D93=0,0,OFFSET(Planilha1!A1,Planilha3!D93,3))</f>
        <v>0</v>
      </c>
      <c r="H93">
        <f ca="1">IF(D93=0,0,OFFSET(Planilha1!A1,Planilha3!D93,4))</f>
        <v>0</v>
      </c>
    </row>
    <row r="94" spans="1:8" x14ac:dyDescent="0.25">
      <c r="A94">
        <v>93</v>
      </c>
      <c r="B94">
        <f>Planilha2!C95</f>
        <v>0</v>
      </c>
      <c r="C94">
        <f>IFERROR(IF(LOOKUP(B94,Planilha1!A2:A130)=B94,B94,0),0)</f>
        <v>0</v>
      </c>
      <c r="D94">
        <f>IFERROR(MATCH(C94,Planilha1!A2:A130),0)</f>
        <v>0</v>
      </c>
      <c r="E94">
        <f ca="1">IF(D94=0,0,OFFSET(Planilha1!A1,Planilha3!D94,1))</f>
        <v>0</v>
      </c>
      <c r="F94">
        <f ca="1">IF(D94=0,,OFFSET(Planilha1!A1,Planilha3!D94,2))</f>
        <v>0</v>
      </c>
      <c r="G94">
        <f ca="1">IF(D94=0,0,OFFSET(Planilha1!A1,Planilha3!D94,3))</f>
        <v>0</v>
      </c>
      <c r="H94">
        <f ca="1">IF(D94=0,0,OFFSET(Planilha1!A1,Planilha3!D94,4))</f>
        <v>0</v>
      </c>
    </row>
    <row r="95" spans="1:8" x14ac:dyDescent="0.25">
      <c r="A95">
        <v>94</v>
      </c>
      <c r="B95">
        <f>Planilha2!C96</f>
        <v>0</v>
      </c>
      <c r="C95">
        <f>IFERROR(IF(LOOKUP(B95,Planilha1!A2:A130)=B95,B95,0),0)</f>
        <v>0</v>
      </c>
      <c r="D95">
        <f>IFERROR(MATCH(C95,Planilha1!A2:A130),0)</f>
        <v>0</v>
      </c>
      <c r="E95">
        <f ca="1">IF(D95=0,0,OFFSET(Planilha1!A1,Planilha3!D95,1))</f>
        <v>0</v>
      </c>
      <c r="F95">
        <f ca="1">IF(D95=0,,OFFSET(Planilha1!A1,Planilha3!D95,2))</f>
        <v>0</v>
      </c>
      <c r="G95">
        <f ca="1">IF(D95=0,0,OFFSET(Planilha1!A1,Planilha3!D95,3))</f>
        <v>0</v>
      </c>
      <c r="H95">
        <f ca="1">IF(D95=0,0,OFFSET(Planilha1!A1,Planilha3!D95,4))</f>
        <v>0</v>
      </c>
    </row>
    <row r="96" spans="1:8" x14ac:dyDescent="0.25">
      <c r="A96">
        <v>95</v>
      </c>
      <c r="B96">
        <f>Planilha2!C97</f>
        <v>0</v>
      </c>
      <c r="C96">
        <f>IFERROR(IF(LOOKUP(B96,Planilha1!A2:A130)=B96,B96,0),0)</f>
        <v>0</v>
      </c>
      <c r="D96">
        <f>IFERROR(MATCH(C96,Planilha1!A2:A130),0)</f>
        <v>0</v>
      </c>
      <c r="E96">
        <f ca="1">IF(D96=0,0,OFFSET(Planilha1!A1,Planilha3!D96,1))</f>
        <v>0</v>
      </c>
      <c r="F96">
        <f ca="1">IF(D96=0,,OFFSET(Planilha1!A1,Planilha3!D96,2))</f>
        <v>0</v>
      </c>
      <c r="G96">
        <f ca="1">IF(D96=0,0,OFFSET(Planilha1!A1,Planilha3!D96,3))</f>
        <v>0</v>
      </c>
      <c r="H96">
        <f ca="1">IF(D96=0,0,OFFSET(Planilha1!A1,Planilha3!D96,4))</f>
        <v>0</v>
      </c>
    </row>
    <row r="97" spans="1:8" x14ac:dyDescent="0.25">
      <c r="A97">
        <v>96</v>
      </c>
      <c r="B97">
        <f>Planilha2!C98</f>
        <v>0</v>
      </c>
      <c r="C97">
        <f>IFERROR(IF(LOOKUP(B97,Planilha1!A2:A130)=B97,B97,0),0)</f>
        <v>0</v>
      </c>
      <c r="D97">
        <f>IFERROR(MATCH(C97,Planilha1!A2:A130),0)</f>
        <v>0</v>
      </c>
      <c r="E97">
        <f ca="1">IF(D97=0,0,OFFSET(Planilha1!A1,Planilha3!D97,1))</f>
        <v>0</v>
      </c>
      <c r="F97">
        <f ca="1">IF(D97=0,,OFFSET(Planilha1!A1,Planilha3!D97,2))</f>
        <v>0</v>
      </c>
      <c r="G97">
        <f ca="1">IF(D97=0,0,OFFSET(Planilha1!A1,Planilha3!D97,3))</f>
        <v>0</v>
      </c>
      <c r="H97">
        <f ca="1">IF(D97=0,0,OFFSET(Planilha1!A1,Planilha3!D97,4))</f>
        <v>0</v>
      </c>
    </row>
    <row r="98" spans="1:8" x14ac:dyDescent="0.25">
      <c r="A98">
        <v>97</v>
      </c>
      <c r="B98">
        <f>Planilha2!C99</f>
        <v>0</v>
      </c>
      <c r="C98">
        <f>IFERROR(IF(LOOKUP(B98,Planilha1!A2:A130)=B98,B98,0),0)</f>
        <v>0</v>
      </c>
      <c r="D98">
        <f>IFERROR(MATCH(C98,Planilha1!A2:A130),0)</f>
        <v>0</v>
      </c>
      <c r="E98">
        <f ca="1">IF(D98=0,0,OFFSET(Planilha1!A1,Planilha3!D98,1))</f>
        <v>0</v>
      </c>
      <c r="F98">
        <f ca="1">IF(D98=0,,OFFSET(Planilha1!A1,Planilha3!D98,2))</f>
        <v>0</v>
      </c>
      <c r="G98">
        <f ca="1">IF(D98=0,0,OFFSET(Planilha1!A1,Planilha3!D98,3))</f>
        <v>0</v>
      </c>
      <c r="H98">
        <f ca="1">IF(D98=0,0,OFFSET(Planilha1!A1,Planilha3!D98,4))</f>
        <v>0</v>
      </c>
    </row>
    <row r="99" spans="1:8" x14ac:dyDescent="0.25">
      <c r="A99">
        <v>98</v>
      </c>
      <c r="B99">
        <f>Planilha2!C100</f>
        <v>0</v>
      </c>
      <c r="C99">
        <f>IFERROR(IF(LOOKUP(B99,Planilha1!A2:A130)=B99,B99,0),0)</f>
        <v>0</v>
      </c>
      <c r="D99">
        <f>IFERROR(MATCH(C99,Planilha1!A2:A130),0)</f>
        <v>0</v>
      </c>
      <c r="E99">
        <f ca="1">IF(D99=0,0,OFFSET(Planilha1!A1,Planilha3!D99,1))</f>
        <v>0</v>
      </c>
      <c r="F99">
        <f ca="1">IF(D99=0,,OFFSET(Planilha1!A1,Planilha3!D99,2))</f>
        <v>0</v>
      </c>
      <c r="G99">
        <f ca="1">IF(D99=0,0,OFFSET(Planilha1!A1,Planilha3!D99,3))</f>
        <v>0</v>
      </c>
      <c r="H99">
        <f ca="1">IF(D99=0,0,OFFSET(Planilha1!A1,Planilha3!D99,4))</f>
        <v>0</v>
      </c>
    </row>
    <row r="100" spans="1:8" x14ac:dyDescent="0.25">
      <c r="A100">
        <v>99</v>
      </c>
      <c r="B100">
        <f>Planilha2!C101</f>
        <v>0</v>
      </c>
      <c r="C100">
        <f>IFERROR(IF(LOOKUP(B100,Planilha1!A2:A130)=B100,B100,0),0)</f>
        <v>0</v>
      </c>
      <c r="D100">
        <f>IFERROR(MATCH(C100,Planilha1!A2:A130),0)</f>
        <v>0</v>
      </c>
      <c r="E100">
        <f ca="1">IF(D100=0,0,OFFSET(Planilha1!A1,Planilha3!D100,1))</f>
        <v>0</v>
      </c>
      <c r="F100">
        <f ca="1">IF(D100=0,,OFFSET(Planilha1!A1,Planilha3!D100,2))</f>
        <v>0</v>
      </c>
      <c r="G100">
        <f ca="1">IF(D100=0,0,OFFSET(Planilha1!A1,Planilha3!D100,3))</f>
        <v>0</v>
      </c>
      <c r="H100">
        <f ca="1">IF(D100=0,0,OFFSET(Planilha1!A1,Planilha3!D100,4))</f>
        <v>0</v>
      </c>
    </row>
    <row r="101" spans="1:8" x14ac:dyDescent="0.25">
      <c r="A101">
        <v>100</v>
      </c>
      <c r="B101">
        <f>Planilha2!C102</f>
        <v>0</v>
      </c>
      <c r="C101">
        <f>IFERROR(IF(LOOKUP(B101,Planilha1!A2:A130)=B101,B101,0),0)</f>
        <v>0</v>
      </c>
      <c r="D101">
        <f>IFERROR(MATCH(C101,Planilha1!A2:A130),0)</f>
        <v>0</v>
      </c>
      <c r="E101">
        <f ca="1">IF(D101=0,0,OFFSET(Planilha1!A1,Planilha3!D101,1))</f>
        <v>0</v>
      </c>
      <c r="F101">
        <f ca="1">IF(D101=0,,OFFSET(Planilha1!A1,Planilha3!D101,2))</f>
        <v>0</v>
      </c>
      <c r="G101">
        <f ca="1">IF(D101=0,0,OFFSET(Planilha1!A1,Planilha3!D101,3))</f>
        <v>0</v>
      </c>
      <c r="H101">
        <f ca="1">IF(D101=0,0,OFFSET(Planilha1!A1,Planilha3!D101,4))</f>
        <v>0</v>
      </c>
    </row>
    <row r="102" spans="1:8" x14ac:dyDescent="0.25">
      <c r="A102">
        <v>101</v>
      </c>
      <c r="B102">
        <f>Planilha2!C103</f>
        <v>0</v>
      </c>
      <c r="C102">
        <f>IFERROR(IF(LOOKUP(B102,Planilha1!A2:A130)=B102,B102,0),0)</f>
        <v>0</v>
      </c>
      <c r="D102">
        <f>IFERROR(MATCH(C102,Planilha1!A2:A130),0)</f>
        <v>0</v>
      </c>
      <c r="E102">
        <f ca="1">IF(D102=0,0,OFFSET(Planilha1!A1,Planilha3!D102,1))</f>
        <v>0</v>
      </c>
      <c r="F102">
        <f ca="1">IF(D102=0,,OFFSET(Planilha1!A1,Planilha3!D102,2))</f>
        <v>0</v>
      </c>
      <c r="G102">
        <f ca="1">IF(D102=0,0,OFFSET(Planilha1!A1,Planilha3!D102,3))</f>
        <v>0</v>
      </c>
      <c r="H102">
        <f ca="1">IF(D102=0,0,OFFSET(Planilha1!A1,Planilha3!D102,4))</f>
        <v>0</v>
      </c>
    </row>
    <row r="103" spans="1:8" x14ac:dyDescent="0.25">
      <c r="A103">
        <v>102</v>
      </c>
      <c r="B103">
        <f>Planilha2!C104</f>
        <v>0</v>
      </c>
      <c r="C103">
        <f>IFERROR(IF(LOOKUP(B103,Planilha1!A2:A130)=B103,B103,0),0)</f>
        <v>0</v>
      </c>
      <c r="D103">
        <f>IFERROR(MATCH(C103,Planilha1!A2:A130),0)</f>
        <v>0</v>
      </c>
      <c r="E103">
        <f ca="1">IF(D103=0,0,OFFSET(Planilha1!A1,Planilha3!D103,1))</f>
        <v>0</v>
      </c>
      <c r="F103">
        <f ca="1">IF(D103=0,,OFFSET(Planilha1!A1,Planilha3!D103,2))</f>
        <v>0</v>
      </c>
      <c r="G103">
        <f ca="1">IF(D103=0,0,OFFSET(Planilha1!A1,Planilha3!D103,3))</f>
        <v>0</v>
      </c>
      <c r="H103">
        <f ca="1">IF(D103=0,0,OFFSET(Planilha1!A1,Planilha3!D103,4))</f>
        <v>0</v>
      </c>
    </row>
    <row r="104" spans="1:8" x14ac:dyDescent="0.25">
      <c r="A104">
        <v>103</v>
      </c>
      <c r="B104">
        <f>Planilha2!C105</f>
        <v>0</v>
      </c>
      <c r="C104">
        <f>IFERROR(IF(LOOKUP(B104,Planilha1!A2:A130)=B104,B104,0),0)</f>
        <v>0</v>
      </c>
      <c r="D104">
        <f>IFERROR(MATCH(C104,Planilha1!A2:A130),0)</f>
        <v>0</v>
      </c>
      <c r="E104">
        <f ca="1">IF(D104=0,0,OFFSET(Planilha1!A1,Planilha3!D104,1))</f>
        <v>0</v>
      </c>
      <c r="F104">
        <f ca="1">IF(D104=0,,OFFSET(Planilha1!A1,Planilha3!D104,2))</f>
        <v>0</v>
      </c>
      <c r="G104">
        <f ca="1">IF(D104=0,0,OFFSET(Planilha1!A1,Planilha3!D104,3))</f>
        <v>0</v>
      </c>
      <c r="H104">
        <f ca="1">IF(D104=0,0,OFFSET(Planilha1!A1,Planilha3!D104,4))</f>
        <v>0</v>
      </c>
    </row>
    <row r="105" spans="1:8" x14ac:dyDescent="0.25">
      <c r="A105">
        <v>104</v>
      </c>
      <c r="B105">
        <f>Planilha2!C106</f>
        <v>0</v>
      </c>
      <c r="C105">
        <f>IFERROR(IF(LOOKUP(B105,Planilha1!A2:A130)=B105,B105,0),0)</f>
        <v>0</v>
      </c>
      <c r="D105">
        <f>IFERROR(MATCH(C105,Planilha1!A2:A130),0)</f>
        <v>0</v>
      </c>
      <c r="E105">
        <f ca="1">IF(D105=0,0,OFFSET(Planilha1!A1,Planilha3!D105,1))</f>
        <v>0</v>
      </c>
      <c r="F105">
        <f ca="1">IF(D105=0,,OFFSET(Planilha1!A1,Planilha3!D105,2))</f>
        <v>0</v>
      </c>
      <c r="G105">
        <f ca="1">IF(D105=0,0,OFFSET(Planilha1!A1,Planilha3!D105,3))</f>
        <v>0</v>
      </c>
      <c r="H105">
        <f ca="1">IF(D105=0,0,OFFSET(Planilha1!A1,Planilha3!D105,4))</f>
        <v>0</v>
      </c>
    </row>
    <row r="106" spans="1:8" x14ac:dyDescent="0.25">
      <c r="A106">
        <v>105</v>
      </c>
      <c r="B106">
        <f>Planilha2!C107</f>
        <v>0</v>
      </c>
      <c r="C106">
        <f>IFERROR(IF(LOOKUP(B106,Planilha1!A2:A130)=B106,B106,0),0)</f>
        <v>0</v>
      </c>
      <c r="D106">
        <f>IFERROR(MATCH(C106,Planilha1!A2:A130),0)</f>
        <v>0</v>
      </c>
      <c r="E106">
        <f ca="1">IF(D106=0,0,OFFSET(Planilha1!A1,Planilha3!D106,1))</f>
        <v>0</v>
      </c>
      <c r="F106">
        <f ca="1">IF(D106=0,,OFFSET(Planilha1!A1,Planilha3!D106,2))</f>
        <v>0</v>
      </c>
      <c r="G106">
        <f ca="1">IF(D106=0,0,OFFSET(Planilha1!A1,Planilha3!D106,3))</f>
        <v>0</v>
      </c>
      <c r="H106">
        <f ca="1">IF(D106=0,0,OFFSET(Planilha1!A1,Planilha3!D106,4))</f>
        <v>0</v>
      </c>
    </row>
    <row r="107" spans="1:8" x14ac:dyDescent="0.25">
      <c r="A107">
        <v>106</v>
      </c>
      <c r="B107">
        <f>Planilha2!C108</f>
        <v>0</v>
      </c>
      <c r="C107">
        <f>IFERROR(IF(LOOKUP(B107,Planilha1!A2:A130)=B107,B107,0),0)</f>
        <v>0</v>
      </c>
      <c r="D107">
        <f>IFERROR(MATCH(C107,Planilha1!A2:A130),0)</f>
        <v>0</v>
      </c>
      <c r="E107">
        <f ca="1">IF(D107=0,0,OFFSET(Planilha1!A1,Planilha3!D107,1))</f>
        <v>0</v>
      </c>
      <c r="F107">
        <f ca="1">IF(D107=0,,OFFSET(Planilha1!A1,Planilha3!D107,2))</f>
        <v>0</v>
      </c>
      <c r="G107">
        <f ca="1">IF(D107=0,0,OFFSET(Planilha1!A1,Planilha3!D107,3))</f>
        <v>0</v>
      </c>
      <c r="H107">
        <f ca="1">IF(D107=0,0,OFFSET(Planilha1!A1,Planilha3!D107,4))</f>
        <v>0</v>
      </c>
    </row>
    <row r="108" spans="1:8" x14ac:dyDescent="0.25">
      <c r="A108">
        <v>107</v>
      </c>
      <c r="B108">
        <f>Planilha2!C109</f>
        <v>0</v>
      </c>
      <c r="C108">
        <f>IFERROR(IF(LOOKUP(B108,Planilha1!A2:A130)=B108,B108,0),0)</f>
        <v>0</v>
      </c>
      <c r="D108">
        <f>IFERROR(MATCH(C108,Planilha1!A2:A130),0)</f>
        <v>0</v>
      </c>
      <c r="E108">
        <f ca="1">IF(D108=0,0,OFFSET(Planilha1!A1,Planilha3!D108,1))</f>
        <v>0</v>
      </c>
      <c r="F108">
        <f ca="1">IF(D108=0,,OFFSET(Planilha1!A1,Planilha3!D108,2))</f>
        <v>0</v>
      </c>
      <c r="G108">
        <f ca="1">IF(D108=0,0,OFFSET(Planilha1!A1,Planilha3!D108,3))</f>
        <v>0</v>
      </c>
      <c r="H108">
        <f ca="1">IF(D108=0,0,OFFSET(Planilha1!A1,Planilha3!D108,4))</f>
        <v>0</v>
      </c>
    </row>
    <row r="109" spans="1:8" x14ac:dyDescent="0.25">
      <c r="A109">
        <v>108</v>
      </c>
      <c r="B109">
        <f>Planilha2!C110</f>
        <v>0</v>
      </c>
      <c r="C109">
        <f>IFERROR(IF(LOOKUP(B109,Planilha1!A2:A130)=B109,B109,0),0)</f>
        <v>0</v>
      </c>
      <c r="D109">
        <f>IFERROR(MATCH(C109,Planilha1!A2:A130),0)</f>
        <v>0</v>
      </c>
      <c r="E109">
        <f ca="1">IF(D109=0,0,OFFSET(Planilha1!A1,Planilha3!D109,1))</f>
        <v>0</v>
      </c>
      <c r="F109">
        <f ca="1">IF(D109=0,,OFFSET(Planilha1!A1,Planilha3!D109,2))</f>
        <v>0</v>
      </c>
      <c r="G109">
        <f ca="1">IF(D109=0,0,OFFSET(Planilha1!A1,Planilha3!D109,3))</f>
        <v>0</v>
      </c>
      <c r="H109">
        <f ca="1">IF(D109=0,0,OFFSET(Planilha1!A1,Planilha3!D109,4))</f>
        <v>0</v>
      </c>
    </row>
    <row r="110" spans="1:8" x14ac:dyDescent="0.25">
      <c r="A110">
        <v>109</v>
      </c>
      <c r="B110">
        <f>Planilha2!C111</f>
        <v>0</v>
      </c>
      <c r="C110">
        <f>IFERROR(IF(LOOKUP(B110,Planilha1!A2:A130)=B110,B110,0),0)</f>
        <v>0</v>
      </c>
      <c r="D110">
        <f>IFERROR(MATCH(C110,Planilha1!A2:A130),0)</f>
        <v>0</v>
      </c>
      <c r="E110">
        <f ca="1">IF(D110=0,0,OFFSET(Planilha1!A1,Planilha3!D110,1))</f>
        <v>0</v>
      </c>
      <c r="F110">
        <f ca="1">IF(D110=0,,OFFSET(Planilha1!A1,Planilha3!D110,2))</f>
        <v>0</v>
      </c>
      <c r="G110">
        <f ca="1">IF(D110=0,0,OFFSET(Planilha1!A1,Planilha3!D110,3))</f>
        <v>0</v>
      </c>
      <c r="H110">
        <f ca="1">IF(D110=0,0,OFFSET(Planilha1!A1,Planilha3!D110,4))</f>
        <v>0</v>
      </c>
    </row>
    <row r="111" spans="1:8" x14ac:dyDescent="0.25">
      <c r="A111">
        <v>110</v>
      </c>
      <c r="B111">
        <f>Planilha2!C112</f>
        <v>0</v>
      </c>
      <c r="C111">
        <f>IFERROR(IF(LOOKUP(B111,Planilha1!A2:A130)=B111,B111,0),0)</f>
        <v>0</v>
      </c>
      <c r="D111">
        <f>IFERROR(MATCH(C111,Planilha1!A2:A130),0)</f>
        <v>0</v>
      </c>
      <c r="E111">
        <f ca="1">IF(D111=0,0,OFFSET(Planilha1!A1,Planilha3!D111,1))</f>
        <v>0</v>
      </c>
      <c r="F111">
        <f ca="1">IF(D111=0,,OFFSET(Planilha1!A1,Planilha3!D111,2))</f>
        <v>0</v>
      </c>
      <c r="G111">
        <f ca="1">IF(D111=0,0,OFFSET(Planilha1!A1,Planilha3!D111,3))</f>
        <v>0</v>
      </c>
      <c r="H111">
        <f ca="1">IF(D111=0,0,OFFSET(Planilha1!A1,Planilha3!D111,4))</f>
        <v>0</v>
      </c>
    </row>
    <row r="112" spans="1:8" x14ac:dyDescent="0.25">
      <c r="A112">
        <v>111</v>
      </c>
      <c r="B112">
        <f>Planilha2!C113</f>
        <v>0</v>
      </c>
      <c r="C112">
        <f>IFERROR(IF(LOOKUP(B112,Planilha1!A2:A130)=B112,B112,0),0)</f>
        <v>0</v>
      </c>
      <c r="D112">
        <f>IFERROR(MATCH(C112,Planilha1!A2:A130),0)</f>
        <v>0</v>
      </c>
      <c r="E112">
        <f ca="1">IF(D112=0,0,OFFSET(Planilha1!A1,Planilha3!D112,1))</f>
        <v>0</v>
      </c>
      <c r="F112">
        <f ca="1">IF(D112=0,,OFFSET(Planilha1!A1,Planilha3!D112,2))</f>
        <v>0</v>
      </c>
      <c r="G112">
        <f ca="1">IF(D112=0,0,OFFSET(Planilha1!A1,Planilha3!D112,3))</f>
        <v>0</v>
      </c>
      <c r="H112">
        <f ca="1">IF(D112=0,0,OFFSET(Planilha1!A1,Planilha3!D112,4))</f>
        <v>0</v>
      </c>
    </row>
    <row r="113" spans="1:8" x14ac:dyDescent="0.25">
      <c r="A113">
        <v>112</v>
      </c>
      <c r="B113">
        <f>Planilha2!C114</f>
        <v>0</v>
      </c>
      <c r="C113">
        <f>IFERROR(IF(LOOKUP(B113,Planilha1!A2:A130)=B113,B113,0),0)</f>
        <v>0</v>
      </c>
      <c r="D113">
        <f>IFERROR(MATCH(C113,Planilha1!A2:A130),0)</f>
        <v>0</v>
      </c>
      <c r="E113">
        <f ca="1">IF(D113=0,0,OFFSET(Planilha1!A1,Planilha3!D113,1))</f>
        <v>0</v>
      </c>
      <c r="F113">
        <f ca="1">IF(D113=0,,OFFSET(Planilha1!A1,Planilha3!D113,2))</f>
        <v>0</v>
      </c>
      <c r="G113">
        <f ca="1">IF(D113=0,0,OFFSET(Planilha1!A1,Planilha3!D113,3))</f>
        <v>0</v>
      </c>
      <c r="H113">
        <f ca="1">IF(D113=0,0,OFFSET(Planilha1!A1,Planilha3!D113,4))</f>
        <v>0</v>
      </c>
    </row>
    <row r="114" spans="1:8" x14ac:dyDescent="0.25">
      <c r="A114">
        <v>113</v>
      </c>
      <c r="B114">
        <f>Planilha2!C115</f>
        <v>0</v>
      </c>
      <c r="C114">
        <f>IFERROR(IF(LOOKUP(B114,Planilha1!A2:A130)=B114,B114,0),0)</f>
        <v>0</v>
      </c>
      <c r="D114">
        <f>IFERROR(MATCH(C114,Planilha1!A2:A130),0)</f>
        <v>0</v>
      </c>
      <c r="E114">
        <f ca="1">IF(D114=0,0,OFFSET(Planilha1!A1,Planilha3!D114,1))</f>
        <v>0</v>
      </c>
      <c r="F114">
        <f ca="1">IF(D114=0,,OFFSET(Planilha1!A1,Planilha3!D114,2))</f>
        <v>0</v>
      </c>
      <c r="G114">
        <f ca="1">IF(D114=0,0,OFFSET(Planilha1!A1,Planilha3!D114,3))</f>
        <v>0</v>
      </c>
      <c r="H114">
        <f ca="1">IF(D114=0,0,OFFSET(Planilha1!A1,Planilha3!D114,4))</f>
        <v>0</v>
      </c>
    </row>
    <row r="115" spans="1:8" x14ac:dyDescent="0.25">
      <c r="A115">
        <v>114</v>
      </c>
      <c r="B115">
        <f>Planilha2!C116</f>
        <v>0</v>
      </c>
      <c r="C115">
        <f>IFERROR(IF(LOOKUP(B115,Planilha1!A2:A130)=B115,B115,0),0)</f>
        <v>0</v>
      </c>
      <c r="D115">
        <f>IFERROR(MATCH(C115,Planilha1!A2:A130),0)</f>
        <v>0</v>
      </c>
      <c r="E115">
        <f ca="1">IF(D115=0,0,OFFSET(Planilha1!A1,Planilha3!D115,1))</f>
        <v>0</v>
      </c>
      <c r="F115">
        <f ca="1">IF(D115=0,,OFFSET(Planilha1!A1,Planilha3!D115,2))</f>
        <v>0</v>
      </c>
      <c r="G115">
        <f ca="1">IF(D115=0,0,OFFSET(Planilha1!A1,Planilha3!D115,3))</f>
        <v>0</v>
      </c>
      <c r="H115">
        <f ca="1">IF(D115=0,0,OFFSET(Planilha1!A1,Planilha3!D115,4))</f>
        <v>0</v>
      </c>
    </row>
    <row r="116" spans="1:8" x14ac:dyDescent="0.25">
      <c r="A116">
        <v>115</v>
      </c>
      <c r="B116">
        <f>Planilha2!C117</f>
        <v>0</v>
      </c>
      <c r="C116">
        <f>IFERROR(IF(LOOKUP(B116,Planilha1!A2:A130)=B116,B116,0),0)</f>
        <v>0</v>
      </c>
      <c r="D116">
        <f>IFERROR(MATCH(C116,Planilha1!A2:A130),0)</f>
        <v>0</v>
      </c>
      <c r="E116">
        <f ca="1">IF(D116=0,0,OFFSET(Planilha1!A1,Planilha3!D116,1))</f>
        <v>0</v>
      </c>
      <c r="F116">
        <f ca="1">IF(D116=0,,OFFSET(Planilha1!A1,Planilha3!D116,2))</f>
        <v>0</v>
      </c>
      <c r="G116">
        <f ca="1">IF(D116=0,0,OFFSET(Planilha1!A1,Planilha3!D116,3))</f>
        <v>0</v>
      </c>
      <c r="H116">
        <f ca="1">IF(D116=0,0,OFFSET(Planilha1!A1,Planilha3!D116,4))</f>
        <v>0</v>
      </c>
    </row>
    <row r="117" spans="1:8" x14ac:dyDescent="0.25">
      <c r="A117">
        <v>116</v>
      </c>
      <c r="B117">
        <f>Planilha2!C118</f>
        <v>0</v>
      </c>
      <c r="C117">
        <f>IFERROR(IF(LOOKUP(B117,Planilha1!A2:A130)=B117,B117,0),0)</f>
        <v>0</v>
      </c>
      <c r="D117">
        <f>IFERROR(MATCH(C117,Planilha1!A2:A130),0)</f>
        <v>0</v>
      </c>
      <c r="E117">
        <f ca="1">IF(D117=0,0,OFFSET(Planilha1!A1,Planilha3!D117,1))</f>
        <v>0</v>
      </c>
      <c r="F117">
        <f ca="1">IF(D117=0,,OFFSET(Planilha1!A1,Planilha3!D117,2))</f>
        <v>0</v>
      </c>
      <c r="G117">
        <f ca="1">IF(D117=0,0,OFFSET(Planilha1!A1,Planilha3!D117,3))</f>
        <v>0</v>
      </c>
      <c r="H117">
        <f ca="1">IF(D117=0,0,OFFSET(Planilha1!A1,Planilha3!D117,4))</f>
        <v>0</v>
      </c>
    </row>
    <row r="118" spans="1:8" x14ac:dyDescent="0.25">
      <c r="A118">
        <v>117</v>
      </c>
      <c r="B118">
        <f>Planilha2!C119</f>
        <v>0</v>
      </c>
      <c r="C118">
        <f>IFERROR(IF(LOOKUP(B118,Planilha1!A2:A130)=B118,B118,0),0)</f>
        <v>0</v>
      </c>
      <c r="D118">
        <f>IFERROR(MATCH(C118,Planilha1!A2:A130),0)</f>
        <v>0</v>
      </c>
      <c r="E118">
        <f ca="1">IF(D118=0,0,OFFSET(Planilha1!A1,Planilha3!D118,1))</f>
        <v>0</v>
      </c>
      <c r="F118">
        <f ca="1">IF(D118=0,,OFFSET(Planilha1!A1,Planilha3!D118,2))</f>
        <v>0</v>
      </c>
      <c r="G118">
        <f ca="1">IF(D118=0,0,OFFSET(Planilha1!A1,Planilha3!D118,3))</f>
        <v>0</v>
      </c>
      <c r="H118">
        <f ca="1">IF(D118=0,0,OFFSET(Planilha1!A1,Planilha3!D118,4))</f>
        <v>0</v>
      </c>
    </row>
    <row r="119" spans="1:8" x14ac:dyDescent="0.25">
      <c r="A119">
        <v>118</v>
      </c>
      <c r="B119">
        <f>Planilha2!C120</f>
        <v>0</v>
      </c>
      <c r="C119">
        <f>IFERROR(IF(LOOKUP(B119,Planilha1!A2:A130)=B119,B119,0),0)</f>
        <v>0</v>
      </c>
      <c r="D119">
        <f>IFERROR(MATCH(C119,Planilha1!A2:A130),0)</f>
        <v>0</v>
      </c>
      <c r="E119">
        <f ca="1">IF(D119=0,0,OFFSET(Planilha1!A1,Planilha3!D119,1))</f>
        <v>0</v>
      </c>
      <c r="F119">
        <f ca="1">IF(D119=0,,OFFSET(Planilha1!A1,Planilha3!D119,2))</f>
        <v>0</v>
      </c>
      <c r="G119">
        <f ca="1">IF(D119=0,0,OFFSET(Planilha1!A1,Planilha3!D119,3))</f>
        <v>0</v>
      </c>
      <c r="H119">
        <f ca="1">IF(D119=0,0,OFFSET(Planilha1!A1,Planilha3!D119,4))</f>
        <v>0</v>
      </c>
    </row>
    <row r="120" spans="1:8" x14ac:dyDescent="0.25">
      <c r="A120">
        <v>119</v>
      </c>
      <c r="B120">
        <f>Planilha2!C121</f>
        <v>0</v>
      </c>
      <c r="C120">
        <f>IFERROR(IF(LOOKUP(B120,Planilha1!A2:A130)=B120,B120,0),0)</f>
        <v>0</v>
      </c>
      <c r="D120">
        <f>IFERROR(MATCH(C120,Planilha1!A2:A130),0)</f>
        <v>0</v>
      </c>
      <c r="E120">
        <f ca="1">IF(D120=0,0,OFFSET(Planilha1!A1,Planilha3!D120,1))</f>
        <v>0</v>
      </c>
      <c r="F120">
        <f ca="1">IF(D120=0,,OFFSET(Planilha1!A1,Planilha3!D120,2))</f>
        <v>0</v>
      </c>
      <c r="G120">
        <f ca="1">IF(D120=0,0,OFFSET(Planilha1!A1,Planilha3!D120,3))</f>
        <v>0</v>
      </c>
      <c r="H120">
        <f ca="1">IF(D120=0,0,OFFSET(Planilha1!A1,Planilha3!D120,4))</f>
        <v>0</v>
      </c>
    </row>
    <row r="121" spans="1:8" x14ac:dyDescent="0.25">
      <c r="A121">
        <v>120</v>
      </c>
      <c r="B121">
        <f>Planilha2!C122</f>
        <v>0</v>
      </c>
      <c r="C121">
        <f>IFERROR(IF(LOOKUP(B121,Planilha1!A2:A130)=B121,B121,0),0)</f>
        <v>0</v>
      </c>
      <c r="D121">
        <f>IFERROR(MATCH(C121,Planilha1!A2:A130),0)</f>
        <v>0</v>
      </c>
      <c r="E121">
        <f ca="1">IF(D121=0,0,OFFSET(Planilha1!A1,Planilha3!D121,1))</f>
        <v>0</v>
      </c>
      <c r="F121">
        <f ca="1">IF(D121=0,,OFFSET(Planilha1!A1,Planilha3!D121,2))</f>
        <v>0</v>
      </c>
      <c r="G121">
        <f ca="1">IF(D121=0,0,OFFSET(Planilha1!A1,Planilha3!D121,3))</f>
        <v>0</v>
      </c>
      <c r="H121">
        <f ca="1">IF(D121=0,0,OFFSET(Planilha1!A1,Planilha3!D121,4))</f>
        <v>0</v>
      </c>
    </row>
    <row r="122" spans="1:8" x14ac:dyDescent="0.25">
      <c r="A122">
        <v>121</v>
      </c>
      <c r="B122">
        <f>Planilha2!C123</f>
        <v>0</v>
      </c>
      <c r="C122">
        <f>IFERROR(IF(LOOKUP(B122,Planilha1!A2:A130)=B122,B122,0),0)</f>
        <v>0</v>
      </c>
      <c r="D122">
        <f>IFERROR(MATCH(C122,Planilha1!A2:A130),0)</f>
        <v>0</v>
      </c>
      <c r="E122">
        <f ca="1">IF(D122=0,0,OFFSET(Planilha1!A1,Planilha3!D122,1))</f>
        <v>0</v>
      </c>
      <c r="F122">
        <f ca="1">IF(D122=0,,OFFSET(Planilha1!A1,Planilha3!D122,2))</f>
        <v>0</v>
      </c>
      <c r="G122">
        <f ca="1">IF(D122=0,0,OFFSET(Planilha1!A1,Planilha3!D122,3))</f>
        <v>0</v>
      </c>
      <c r="H122">
        <f ca="1">IF(D122=0,0,OFFSET(Planilha1!A1,Planilha3!D122,4))</f>
        <v>0</v>
      </c>
    </row>
    <row r="123" spans="1:8" x14ac:dyDescent="0.25">
      <c r="A123">
        <v>122</v>
      </c>
      <c r="B123">
        <f>Planilha2!C124</f>
        <v>0</v>
      </c>
      <c r="C123">
        <f>IFERROR(IF(LOOKUP(B123,Planilha1!A2:A130)=B123,B123,0),0)</f>
        <v>0</v>
      </c>
      <c r="D123">
        <f>IFERROR(MATCH(C123,Planilha1!A2:A130),0)</f>
        <v>0</v>
      </c>
      <c r="E123">
        <f ca="1">IF(D123=0,0,OFFSET(Planilha1!A1,Planilha3!D123,1))</f>
        <v>0</v>
      </c>
      <c r="F123">
        <f ca="1">IF(D123=0,,OFFSET(Planilha1!A1,Planilha3!D123,2))</f>
        <v>0</v>
      </c>
      <c r="G123">
        <f ca="1">IF(D123=0,0,OFFSET(Planilha1!A1,Planilha3!D123,3))</f>
        <v>0</v>
      </c>
      <c r="H123">
        <f ca="1">IF(D123=0,0,OFFSET(Planilha1!A1,Planilha3!D123,4))</f>
        <v>0</v>
      </c>
    </row>
    <row r="124" spans="1:8" x14ac:dyDescent="0.25">
      <c r="A124">
        <v>123</v>
      </c>
      <c r="B124">
        <f>Planilha2!C125</f>
        <v>0</v>
      </c>
      <c r="C124">
        <f>IFERROR(IF(LOOKUP(B124,Planilha1!A2:A130)=B124,B124,0),0)</f>
        <v>0</v>
      </c>
      <c r="D124">
        <f>IFERROR(MATCH(C124,Planilha1!A2:A130),0)</f>
        <v>0</v>
      </c>
      <c r="E124">
        <f ca="1">IF(D124=0,0,OFFSET(Planilha1!A1,Planilha3!D124,1))</f>
        <v>0</v>
      </c>
      <c r="F124">
        <f ca="1">IF(D124=0,,OFFSET(Planilha1!A1,Planilha3!D124,2))</f>
        <v>0</v>
      </c>
      <c r="G124">
        <f ca="1">IF(D124=0,0,OFFSET(Planilha1!A1,Planilha3!D124,3))</f>
        <v>0</v>
      </c>
      <c r="H124">
        <f ca="1">IF(D124=0,0,OFFSET(Planilha1!A1,Planilha3!D124,4))</f>
        <v>0</v>
      </c>
    </row>
    <row r="125" spans="1:8" x14ac:dyDescent="0.25">
      <c r="A125">
        <v>124</v>
      </c>
      <c r="B125">
        <f>Planilha2!C126</f>
        <v>0</v>
      </c>
      <c r="C125">
        <f>IFERROR(IF(LOOKUP(B125,Planilha1!A2:A130)=B125,B125,0),0)</f>
        <v>0</v>
      </c>
      <c r="D125">
        <f>IFERROR(MATCH(C125,Planilha1!A2:A130),0)</f>
        <v>0</v>
      </c>
      <c r="E125">
        <f ca="1">IF(D125=0,0,OFFSET(Planilha1!A1,Planilha3!D125,1))</f>
        <v>0</v>
      </c>
      <c r="F125">
        <f ca="1">IF(D125=0,,OFFSET(Planilha1!A1,Planilha3!D125,2))</f>
        <v>0</v>
      </c>
      <c r="G125">
        <f ca="1">IF(D125=0,0,OFFSET(Planilha1!A1,Planilha3!D125,3))</f>
        <v>0</v>
      </c>
      <c r="H125">
        <f ca="1">IF(D125=0,0,OFFSET(Planilha1!A1,Planilha3!D125,4))</f>
        <v>0</v>
      </c>
    </row>
    <row r="126" spans="1:8" x14ac:dyDescent="0.25">
      <c r="A126">
        <v>125</v>
      </c>
      <c r="B126">
        <f>Planilha2!C127</f>
        <v>0</v>
      </c>
      <c r="C126">
        <f>IFERROR(IF(LOOKUP(B126,Planilha1!A2:A130)=B126,B126,0),0)</f>
        <v>0</v>
      </c>
      <c r="D126">
        <f>IFERROR(MATCH(C126,Planilha1!A2:A130),0)</f>
        <v>0</v>
      </c>
      <c r="E126">
        <f ca="1">IF(D126=0,0,OFFSET(Planilha1!A1,Planilha3!D126,1))</f>
        <v>0</v>
      </c>
      <c r="F126">
        <f ca="1">IF(D126=0,,OFFSET(Planilha1!A1,Planilha3!D126,2))</f>
        <v>0</v>
      </c>
      <c r="G126">
        <f ca="1">IF(D126=0,0,OFFSET(Planilha1!A1,Planilha3!D126,3))</f>
        <v>0</v>
      </c>
      <c r="H126">
        <f ca="1">IF(D126=0,0,OFFSET(Planilha1!A1,Planilha3!D126,4))</f>
        <v>0</v>
      </c>
    </row>
    <row r="127" spans="1:8" x14ac:dyDescent="0.25">
      <c r="A127">
        <v>126</v>
      </c>
      <c r="B127">
        <f>Planilha2!C128</f>
        <v>0</v>
      </c>
      <c r="C127">
        <f>IFERROR(IF(LOOKUP(B127,Planilha1!A2:A130)=B127,B127,0),0)</f>
        <v>0</v>
      </c>
      <c r="D127">
        <f>IFERROR(MATCH(C127,Planilha1!A2:A130),0)</f>
        <v>0</v>
      </c>
      <c r="E127">
        <f ca="1">IF(D127=0,0,OFFSET(Planilha1!A1,Planilha3!D127,1))</f>
        <v>0</v>
      </c>
      <c r="F127">
        <f ca="1">IF(D127=0,,OFFSET(Planilha1!A1,Planilha3!D127,2))</f>
        <v>0</v>
      </c>
      <c r="G127">
        <f ca="1">IF(D127=0,0,OFFSET(Planilha1!A1,Planilha3!D127,3))</f>
        <v>0</v>
      </c>
      <c r="H127">
        <f ca="1">IF(D127=0,0,OFFSET(Planilha1!A1,Planilha3!D127,4))</f>
        <v>0</v>
      </c>
    </row>
    <row r="128" spans="1:8" x14ac:dyDescent="0.25">
      <c r="A128">
        <v>127</v>
      </c>
      <c r="B128">
        <f>Planilha2!C129</f>
        <v>0</v>
      </c>
      <c r="C128">
        <f>IFERROR(IF(LOOKUP(B128,Planilha1!A2:A130)=B128,B128,0),0)</f>
        <v>0</v>
      </c>
      <c r="D128">
        <f>IFERROR(MATCH(C128,Planilha1!A2:A130),0)</f>
        <v>0</v>
      </c>
      <c r="E128">
        <f ca="1">IF(D128=0,0,OFFSET(Planilha1!A1,Planilha3!D128,1))</f>
        <v>0</v>
      </c>
      <c r="F128">
        <f ca="1">IF(D128=0,,OFFSET(Planilha1!A1,Planilha3!D128,2))</f>
        <v>0</v>
      </c>
      <c r="G128">
        <f ca="1">IF(D128=0,0,OFFSET(Planilha1!A1,Planilha3!D128,3))</f>
        <v>0</v>
      </c>
      <c r="H128">
        <f ca="1">IF(D128=0,0,OFFSET(Planilha1!A1,Planilha3!D128,4))</f>
        <v>0</v>
      </c>
    </row>
    <row r="129" spans="1:8" x14ac:dyDescent="0.25">
      <c r="A129">
        <v>128</v>
      </c>
      <c r="B129">
        <f>Planilha2!C130</f>
        <v>0</v>
      </c>
      <c r="C129">
        <f>IFERROR(IF(LOOKUP(B129,Planilha1!A2:A130)=B129,B129,0),0)</f>
        <v>0</v>
      </c>
      <c r="D129">
        <f>IFERROR(MATCH(C129,Planilha1!A2:A130),0)</f>
        <v>0</v>
      </c>
      <c r="E129">
        <f ca="1">IF(D129=0,0,OFFSET(Planilha1!A1,Planilha3!D129,1))</f>
        <v>0</v>
      </c>
      <c r="F129">
        <f ca="1">IF(D129=0,,OFFSET(Planilha1!A1,Planilha3!D129,2))</f>
        <v>0</v>
      </c>
      <c r="G129">
        <f ca="1">IF(D129=0,0,OFFSET(Planilha1!A1,Planilha3!D129,3))</f>
        <v>0</v>
      </c>
      <c r="H129">
        <f ca="1">IF(D129=0,0,OFFSET(Planilha1!A1,Planilha3!D129,4))</f>
        <v>0</v>
      </c>
    </row>
    <row r="130" spans="1:8" x14ac:dyDescent="0.25">
      <c r="A130">
        <v>129</v>
      </c>
      <c r="B130">
        <f>Planilha2!C131</f>
        <v>0</v>
      </c>
      <c r="C130">
        <f>IFERROR(IF(LOOKUP(B130,Planilha1!A2:A130)=B130,B130,0),0)</f>
        <v>0</v>
      </c>
      <c r="D130">
        <f>IFERROR(MATCH(C130,Planilha1!A2:A130),0)</f>
        <v>0</v>
      </c>
      <c r="E130">
        <f ca="1">IF(D130=0,0,OFFSET(Planilha1!A1,Planilha3!D130,1))</f>
        <v>0</v>
      </c>
      <c r="F130">
        <f ca="1">IF(D130=0,,OFFSET(Planilha1!A1,Planilha3!D130,2))</f>
        <v>0</v>
      </c>
      <c r="G130">
        <f ca="1">IF(D130=0,0,OFFSET(Planilha1!A1,Planilha3!D130,3))</f>
        <v>0</v>
      </c>
      <c r="H130">
        <f ca="1">IF(D130=0,0,OFFSET(Planilha1!A1,Planilha3!D130,4))</f>
        <v>0</v>
      </c>
    </row>
    <row r="131" spans="1:8" x14ac:dyDescent="0.25">
      <c r="A131">
        <v>130</v>
      </c>
      <c r="B131">
        <f>Planilha2!C132</f>
        <v>0</v>
      </c>
      <c r="C131">
        <f>IFERROR(IF(LOOKUP(B131,Planilha1!A2:A130)=B131,B131,0),0)</f>
        <v>0</v>
      </c>
      <c r="D131">
        <f>IFERROR(MATCH(C131,Planilha1!A2:A130),0)</f>
        <v>0</v>
      </c>
      <c r="E131">
        <f ca="1">IF(D131=0,0,OFFSET(Planilha1!A1,Planilha3!D131,1))</f>
        <v>0</v>
      </c>
      <c r="F131">
        <f ca="1">IF(D131=0,,OFFSET(Planilha1!A1,Planilha3!D131,2))</f>
        <v>0</v>
      </c>
      <c r="G131">
        <f ca="1">IF(D131=0,0,OFFSET(Planilha1!A1,Planilha3!D131,3))</f>
        <v>0</v>
      </c>
      <c r="H131">
        <f ca="1">IF(D131=0,0,OFFSET(Planilha1!A1,Planilha3!D131,4))</f>
        <v>0</v>
      </c>
    </row>
    <row r="132" spans="1:8" x14ac:dyDescent="0.25">
      <c r="A132">
        <v>131</v>
      </c>
      <c r="B132">
        <f>Planilha2!C133</f>
        <v>0</v>
      </c>
      <c r="C132">
        <f>IFERROR(IF(LOOKUP(B132,Planilha1!A2:A130)=B132,B132,0),0)</f>
        <v>0</v>
      </c>
      <c r="D132">
        <f>IFERROR(MATCH(C132,Planilha1!A2:A130),0)</f>
        <v>0</v>
      </c>
      <c r="E132">
        <f ca="1">IF(D132=0,0,OFFSET(Planilha1!A1,Planilha3!D132,1))</f>
        <v>0</v>
      </c>
      <c r="F132">
        <f ca="1">IF(D132=0,,OFFSET(Planilha1!A1,Planilha3!D132,2))</f>
        <v>0</v>
      </c>
      <c r="G132">
        <f ca="1">IF(D132=0,0,OFFSET(Planilha1!A1,Planilha3!D132,3))</f>
        <v>0</v>
      </c>
      <c r="H132">
        <f ca="1">IF(D132=0,0,OFFSET(Planilha1!A1,Planilha3!D132,4))</f>
        <v>0</v>
      </c>
    </row>
    <row r="133" spans="1:8" x14ac:dyDescent="0.25">
      <c r="A133">
        <v>132</v>
      </c>
      <c r="B133">
        <f>Planilha2!C134</f>
        <v>0</v>
      </c>
      <c r="C133">
        <f>IFERROR(IF(LOOKUP(B133,Planilha1!A2:A130)=B133,B133,0),0)</f>
        <v>0</v>
      </c>
      <c r="D133">
        <f>IFERROR(MATCH(C133,Planilha1!A2:A130),0)</f>
        <v>0</v>
      </c>
      <c r="E133">
        <f ca="1">IF(D133=0,0,OFFSET(Planilha1!A1,Planilha3!D133,1))</f>
        <v>0</v>
      </c>
      <c r="F133">
        <f ca="1">IF(D133=0,,OFFSET(Planilha1!A1,Planilha3!D133,2))</f>
        <v>0</v>
      </c>
      <c r="G133">
        <f ca="1">IF(D133=0,0,OFFSET(Planilha1!A1,Planilha3!D133,3))</f>
        <v>0</v>
      </c>
      <c r="H133">
        <f ca="1">IF(D133=0,0,OFFSET(Planilha1!A1,Planilha3!D133,4))</f>
        <v>0</v>
      </c>
    </row>
    <row r="134" spans="1:8" x14ac:dyDescent="0.25">
      <c r="A134">
        <v>133</v>
      </c>
      <c r="B134">
        <f>Planilha2!C135</f>
        <v>0</v>
      </c>
      <c r="C134">
        <f>IFERROR(IF(LOOKUP(B134,Planilha1!A2:A130)=B134,B134,0),0)</f>
        <v>0</v>
      </c>
      <c r="D134">
        <f>IFERROR(MATCH(C134,Planilha1!A2:A130),0)</f>
        <v>0</v>
      </c>
      <c r="E134">
        <f ca="1">IF(D134=0,0,OFFSET(Planilha1!A1,Planilha3!D134,1))</f>
        <v>0</v>
      </c>
      <c r="F134">
        <f ca="1">IF(D134=0,,OFFSET(Planilha1!A1,Planilha3!D134,2))</f>
        <v>0</v>
      </c>
      <c r="G134">
        <f ca="1">IF(D134=0,0,OFFSET(Planilha1!A1,Planilha3!D134,3))</f>
        <v>0</v>
      </c>
      <c r="H134">
        <f ca="1">IF(D134=0,0,OFFSET(Planilha1!A1,Planilha3!D134,4))</f>
        <v>0</v>
      </c>
    </row>
    <row r="135" spans="1:8" x14ac:dyDescent="0.25">
      <c r="A135">
        <v>134</v>
      </c>
      <c r="B135">
        <f>Planilha2!C136</f>
        <v>0</v>
      </c>
      <c r="C135">
        <f>IFERROR(IF(LOOKUP(B135,Planilha1!A2:A130)=B135,B135,0),0)</f>
        <v>0</v>
      </c>
      <c r="D135">
        <f>IFERROR(MATCH(C135,Planilha1!A2:A130),0)</f>
        <v>0</v>
      </c>
      <c r="E135">
        <f ca="1">IF(D135=0,0,OFFSET(Planilha1!A1,Planilha3!D135,1))</f>
        <v>0</v>
      </c>
      <c r="F135">
        <f ca="1">IF(D135=0,,OFFSET(Planilha1!A1,Planilha3!D135,2))</f>
        <v>0</v>
      </c>
      <c r="G135">
        <f ca="1">IF(D135=0,0,OFFSET(Planilha1!A1,Planilha3!D135,3))</f>
        <v>0</v>
      </c>
      <c r="H135">
        <f ca="1">IF(D135=0,0,OFFSET(Planilha1!A1,Planilha3!D135,4))</f>
        <v>0</v>
      </c>
    </row>
    <row r="136" spans="1:8" x14ac:dyDescent="0.25">
      <c r="A136">
        <v>135</v>
      </c>
      <c r="B136">
        <f>Planilha2!C137</f>
        <v>0</v>
      </c>
      <c r="C136">
        <f>IFERROR(IF(LOOKUP(B136,Planilha1!A2:A130)=B136,B136,0),0)</f>
        <v>0</v>
      </c>
      <c r="D136">
        <f>IFERROR(MATCH(C136,Planilha1!A2:A130),0)</f>
        <v>0</v>
      </c>
      <c r="E136">
        <f ca="1">IF(D136=0,0,OFFSET(Planilha1!A1,Planilha3!D136,1))</f>
        <v>0</v>
      </c>
      <c r="F136">
        <f ca="1">IF(D136=0,,OFFSET(Planilha1!A1,Planilha3!D136,2))</f>
        <v>0</v>
      </c>
      <c r="G136">
        <f ca="1">IF(D136=0,0,OFFSET(Planilha1!A1,Planilha3!D136,3))</f>
        <v>0</v>
      </c>
      <c r="H136">
        <f ca="1">IF(D136=0,0,OFFSET(Planilha1!A1,Planilha3!D136,4))</f>
        <v>0</v>
      </c>
    </row>
    <row r="137" spans="1:8" x14ac:dyDescent="0.25">
      <c r="A137">
        <v>136</v>
      </c>
      <c r="B137">
        <f>Planilha2!C138</f>
        <v>0</v>
      </c>
      <c r="C137">
        <f>IFERROR(IF(LOOKUP(B137,Planilha1!A2:A130)=B137,B137,0),0)</f>
        <v>0</v>
      </c>
      <c r="D137">
        <f>IFERROR(MATCH(C137,Planilha1!A2:A130),0)</f>
        <v>0</v>
      </c>
      <c r="E137">
        <f ca="1">IF(D137=0,0,OFFSET(Planilha1!A1,Planilha3!D137,1))</f>
        <v>0</v>
      </c>
      <c r="F137">
        <f ca="1">IF(D137=0,,OFFSET(Planilha1!A1,Planilha3!D137,2))</f>
        <v>0</v>
      </c>
      <c r="G137">
        <f ca="1">IF(D137=0,0,OFFSET(Planilha1!A1,Planilha3!D137,3))</f>
        <v>0</v>
      </c>
      <c r="H137">
        <f ca="1">IF(D137=0,0,OFFSET(Planilha1!A1,Planilha3!D137,4))</f>
        <v>0</v>
      </c>
    </row>
    <row r="138" spans="1:8" x14ac:dyDescent="0.25">
      <c r="A138">
        <v>137</v>
      </c>
      <c r="B138">
        <f>Planilha2!C139</f>
        <v>0</v>
      </c>
      <c r="C138">
        <f>IFERROR(IF(LOOKUP(B138,Planilha1!A2:A130)=B138,B138,0),0)</f>
        <v>0</v>
      </c>
      <c r="D138">
        <f>IFERROR(MATCH(C138,Planilha1!A2:A130),0)</f>
        <v>0</v>
      </c>
      <c r="E138">
        <f ca="1">IF(D138=0,0,OFFSET(Planilha1!A1,Planilha3!D138,1))</f>
        <v>0</v>
      </c>
      <c r="F138">
        <f ca="1">IF(D138=0,,OFFSET(Planilha1!A1,Planilha3!D138,2))</f>
        <v>0</v>
      </c>
      <c r="G138">
        <f ca="1">IF(D138=0,0,OFFSET(Planilha1!A1,Planilha3!D138,3))</f>
        <v>0</v>
      </c>
      <c r="H138">
        <f ca="1">IF(D138=0,0,OFFSET(Planilha1!A1,Planilha3!D138,4))</f>
        <v>0</v>
      </c>
    </row>
    <row r="139" spans="1:8" x14ac:dyDescent="0.25">
      <c r="A139">
        <v>138</v>
      </c>
      <c r="B139">
        <f>Planilha2!C140</f>
        <v>0</v>
      </c>
      <c r="C139">
        <f>IFERROR(IF(LOOKUP(B139,Planilha1!A2:A130)=B139,B139,0),0)</f>
        <v>0</v>
      </c>
      <c r="D139">
        <f>IFERROR(MATCH(C139,Planilha1!A2:A130),0)</f>
        <v>0</v>
      </c>
      <c r="E139">
        <f ca="1">IF(D139=0,0,OFFSET(Planilha1!A1,Planilha3!D139,1))</f>
        <v>0</v>
      </c>
      <c r="F139">
        <f ca="1">IF(D139=0,,OFFSET(Planilha1!A1,Planilha3!D139,2))</f>
        <v>0</v>
      </c>
      <c r="G139">
        <f ca="1">IF(D139=0,0,OFFSET(Planilha1!A1,Planilha3!D139,3))</f>
        <v>0</v>
      </c>
      <c r="H139">
        <f ca="1">IF(D139=0,0,OFFSET(Planilha1!A1,Planilha3!D139,4))</f>
        <v>0</v>
      </c>
    </row>
    <row r="140" spans="1:8" x14ac:dyDescent="0.25">
      <c r="A140">
        <v>139</v>
      </c>
      <c r="B140">
        <f>Planilha2!C141</f>
        <v>0</v>
      </c>
      <c r="C140">
        <f>IFERROR(IF(LOOKUP(B140,Planilha1!A2:A130)=B140,B140,0),0)</f>
        <v>0</v>
      </c>
      <c r="D140">
        <f>IFERROR(MATCH(C140,Planilha1!A2:A130),0)</f>
        <v>0</v>
      </c>
      <c r="E140">
        <f ca="1">IF(D140=0,0,OFFSET(Planilha1!A1,Planilha3!D140,1))</f>
        <v>0</v>
      </c>
      <c r="F140">
        <f ca="1">IF(D140=0,,OFFSET(Planilha1!A1,Planilha3!D140,2))</f>
        <v>0</v>
      </c>
      <c r="G140">
        <f ca="1">IF(D140=0,0,OFFSET(Planilha1!A1,Planilha3!D140,3))</f>
        <v>0</v>
      </c>
      <c r="H140">
        <f ca="1">IF(D140=0,0,OFFSET(Planilha1!A1,Planilha3!D140,4))</f>
        <v>0</v>
      </c>
    </row>
    <row r="141" spans="1:8" x14ac:dyDescent="0.25">
      <c r="A141">
        <v>140</v>
      </c>
      <c r="B141">
        <f>Planilha2!C142</f>
        <v>0</v>
      </c>
      <c r="C141">
        <f>IFERROR(IF(LOOKUP(B141,Planilha1!A2:A130)=B141,B141,0),0)</f>
        <v>0</v>
      </c>
      <c r="D141">
        <f>IFERROR(MATCH(C141,Planilha1!A2:A130),0)</f>
        <v>0</v>
      </c>
      <c r="E141">
        <f ca="1">IF(D141=0,0,OFFSET(Planilha1!A1,Planilha3!D141,1))</f>
        <v>0</v>
      </c>
      <c r="F141">
        <f ca="1">IF(D141=0,,OFFSET(Planilha1!A1,Planilha3!D141,2))</f>
        <v>0</v>
      </c>
      <c r="G141">
        <f ca="1">IF(D141=0,0,OFFSET(Planilha1!A1,Planilha3!D141,3))</f>
        <v>0</v>
      </c>
      <c r="H141">
        <f ca="1">IF(D141=0,0,OFFSET(Planilha1!A1,Planilha3!D141,4))</f>
        <v>0</v>
      </c>
    </row>
    <row r="142" spans="1:8" x14ac:dyDescent="0.25">
      <c r="A142">
        <v>141</v>
      </c>
      <c r="B142">
        <f>Planilha2!C143</f>
        <v>0</v>
      </c>
      <c r="C142">
        <f>IFERROR(IF(LOOKUP(B142,Planilha1!A2:A130)=B142,B142,0),0)</f>
        <v>0</v>
      </c>
      <c r="D142">
        <f>IFERROR(MATCH(C142,Planilha1!A2:A130),0)</f>
        <v>0</v>
      </c>
      <c r="E142">
        <f ca="1">IF(D142=0,0,OFFSET(Planilha1!A1,Planilha3!D142,1))</f>
        <v>0</v>
      </c>
      <c r="F142">
        <f ca="1">IF(D142=0,,OFFSET(Planilha1!A1,Planilha3!D142,2))</f>
        <v>0</v>
      </c>
      <c r="G142">
        <f ca="1">IF(D142=0,0,OFFSET(Planilha1!A1,Planilha3!D142,3))</f>
        <v>0</v>
      </c>
      <c r="H142">
        <f ca="1">IF(D142=0,0,OFFSET(Planilha1!A1,Planilha3!D142,4))</f>
        <v>0</v>
      </c>
    </row>
    <row r="143" spans="1:8" x14ac:dyDescent="0.25">
      <c r="A143">
        <v>142</v>
      </c>
      <c r="B143">
        <f>Planilha2!C144</f>
        <v>0</v>
      </c>
      <c r="C143">
        <f>IFERROR(IF(LOOKUP(B143,Planilha1!A2:A130)=B143,B143,0),0)</f>
        <v>0</v>
      </c>
      <c r="D143">
        <f>IFERROR(MATCH(C143,Planilha1!A2:A130),0)</f>
        <v>0</v>
      </c>
      <c r="E143">
        <f ca="1">IF(D143=0,0,OFFSET(Planilha1!A1,Planilha3!D143,1))</f>
        <v>0</v>
      </c>
      <c r="F143">
        <f ca="1">IF(D143=0,,OFFSET(Planilha1!A1,Planilha3!D143,2))</f>
        <v>0</v>
      </c>
      <c r="G143">
        <f ca="1">IF(D143=0,0,OFFSET(Planilha1!A1,Planilha3!D143,3))</f>
        <v>0</v>
      </c>
      <c r="H143">
        <f ca="1">IF(D143=0,0,OFFSET(Planilha1!A1,Planilha3!D143,4))</f>
        <v>0</v>
      </c>
    </row>
    <row r="144" spans="1:8" x14ac:dyDescent="0.25">
      <c r="A144">
        <v>143</v>
      </c>
      <c r="B144">
        <f>Planilha2!C145</f>
        <v>0</v>
      </c>
      <c r="C144">
        <f>IFERROR(IF(LOOKUP(B144,Planilha1!A2:A130)=B144,B144,0),0)</f>
        <v>0</v>
      </c>
      <c r="D144">
        <f>IFERROR(MATCH(C144,Planilha1!A2:A130),0)</f>
        <v>0</v>
      </c>
      <c r="E144">
        <f ca="1">IF(D144=0,0,OFFSET(Planilha1!A1,Planilha3!D144,1))</f>
        <v>0</v>
      </c>
      <c r="F144">
        <f ca="1">IF(D144=0,,OFFSET(Planilha1!A1,Planilha3!D144,2))</f>
        <v>0</v>
      </c>
      <c r="G144">
        <f ca="1">IF(D144=0,0,OFFSET(Planilha1!A1,Planilha3!D144,3))</f>
        <v>0</v>
      </c>
      <c r="H144">
        <f ca="1">IF(D144=0,0,OFFSET(Planilha1!A1,Planilha3!D144,4))</f>
        <v>0</v>
      </c>
    </row>
    <row r="145" spans="1:8" x14ac:dyDescent="0.25">
      <c r="A145">
        <v>144</v>
      </c>
      <c r="B145">
        <f>Planilha2!C146</f>
        <v>0</v>
      </c>
      <c r="C145">
        <f>IFERROR(IF(LOOKUP(B145,Planilha1!A2:A130)=B145,B145,0),0)</f>
        <v>0</v>
      </c>
      <c r="D145">
        <f>IFERROR(MATCH(C145,Planilha1!A2:A130),0)</f>
        <v>0</v>
      </c>
      <c r="E145">
        <f ca="1">IF(D145=0,0,OFFSET(Planilha1!A1,Planilha3!D145,1))</f>
        <v>0</v>
      </c>
      <c r="F145">
        <f ca="1">IF(D145=0,,OFFSET(Planilha1!A1,Planilha3!D145,2))</f>
        <v>0</v>
      </c>
      <c r="G145">
        <f ca="1">IF(D145=0,0,OFFSET(Planilha1!A1,Planilha3!D145,3))</f>
        <v>0</v>
      </c>
      <c r="H145">
        <f ca="1">IF(D145=0,0,OFFSET(Planilha1!A1,Planilha3!D145,4))</f>
        <v>0</v>
      </c>
    </row>
    <row r="146" spans="1:8" x14ac:dyDescent="0.25">
      <c r="A146">
        <v>145</v>
      </c>
      <c r="B146">
        <f>Planilha2!C147</f>
        <v>0</v>
      </c>
      <c r="C146">
        <f>IFERROR(IF(LOOKUP(B146,Planilha1!A2:A130)=B146,B146,0),0)</f>
        <v>0</v>
      </c>
      <c r="D146">
        <f>IFERROR(MATCH(C146,Planilha1!A2:A130),0)</f>
        <v>0</v>
      </c>
      <c r="E146">
        <f ca="1">IF(D146=0,0,OFFSET(Planilha1!A1,Planilha3!D146,1))</f>
        <v>0</v>
      </c>
      <c r="F146">
        <f ca="1">IF(D146=0,,OFFSET(Planilha1!A1,Planilha3!D146,2))</f>
        <v>0</v>
      </c>
      <c r="G146">
        <f ca="1">IF(D146=0,0,OFFSET(Planilha1!A1,Planilha3!D146,3))</f>
        <v>0</v>
      </c>
      <c r="H146">
        <f ca="1">IF(D146=0,0,OFFSET(Planilha1!A1,Planilha3!D146,4))</f>
        <v>0</v>
      </c>
    </row>
    <row r="147" spans="1:8" x14ac:dyDescent="0.25">
      <c r="A147">
        <v>146</v>
      </c>
      <c r="B147">
        <f>Planilha2!C148</f>
        <v>0</v>
      </c>
      <c r="C147">
        <f>IFERROR(IF(LOOKUP(B147,Planilha1!A2:A130)=B147,B147,0),0)</f>
        <v>0</v>
      </c>
      <c r="D147">
        <f>IFERROR(MATCH(C147,Planilha1!A2:A130),0)</f>
        <v>0</v>
      </c>
      <c r="E147">
        <f ca="1">IF(D147=0,0,OFFSET(Planilha1!A1,Planilha3!D147,1))</f>
        <v>0</v>
      </c>
      <c r="F147">
        <f ca="1">IF(D147=0,,OFFSET(Planilha1!A1,Planilha3!D147,2))</f>
        <v>0</v>
      </c>
      <c r="G147">
        <f ca="1">IF(D147=0,0,OFFSET(Planilha1!A1,Planilha3!D147,3))</f>
        <v>0</v>
      </c>
      <c r="H147">
        <f ca="1">IF(D147=0,0,OFFSET(Planilha1!A1,Planilha3!D147,4))</f>
        <v>0</v>
      </c>
    </row>
    <row r="148" spans="1:8" x14ac:dyDescent="0.25">
      <c r="A148">
        <v>147</v>
      </c>
      <c r="B148">
        <f>Planilha2!C149</f>
        <v>0</v>
      </c>
      <c r="C148">
        <f>IFERROR(IF(LOOKUP(B148,Planilha1!A2:A130)=B148,B148,0),0)</f>
        <v>0</v>
      </c>
      <c r="D148">
        <f>IFERROR(MATCH(C148,Planilha1!A2:A130),0)</f>
        <v>0</v>
      </c>
      <c r="E148">
        <f ca="1">IF(D148=0,0,OFFSET(Planilha1!A1,Planilha3!D148,1))</f>
        <v>0</v>
      </c>
      <c r="F148">
        <f ca="1">IF(D148=0,,OFFSET(Planilha1!A1,Planilha3!D148,2))</f>
        <v>0</v>
      </c>
      <c r="G148">
        <f ca="1">IF(D148=0,0,OFFSET(Planilha1!A1,Planilha3!D148,3))</f>
        <v>0</v>
      </c>
      <c r="H148">
        <f ca="1">IF(D148=0,0,OFFSET(Planilha1!A1,Planilha3!D148,4))</f>
        <v>0</v>
      </c>
    </row>
    <row r="149" spans="1:8" x14ac:dyDescent="0.25">
      <c r="A149">
        <v>148</v>
      </c>
      <c r="B149">
        <f>Planilha2!C150</f>
        <v>0</v>
      </c>
      <c r="C149">
        <f>IFERROR(IF(LOOKUP(B149,Planilha1!A2:A130)=B149,B149,0),0)</f>
        <v>0</v>
      </c>
      <c r="D149">
        <f>IFERROR(MATCH(C149,Planilha1!A2:A130),0)</f>
        <v>0</v>
      </c>
      <c r="E149">
        <f ca="1">IF(D149=0,0,OFFSET(Planilha1!A1,Planilha3!D149,1))</f>
        <v>0</v>
      </c>
      <c r="F149">
        <f ca="1">IF(D149=0,,OFFSET(Planilha1!A1,Planilha3!D149,2))</f>
        <v>0</v>
      </c>
      <c r="G149">
        <f ca="1">IF(D149=0,0,OFFSET(Planilha1!A1,Planilha3!D149,3))</f>
        <v>0</v>
      </c>
      <c r="H149">
        <f ca="1">IF(D149=0,0,OFFSET(Planilha1!A1,Planilha3!D149,4))</f>
        <v>0</v>
      </c>
    </row>
    <row r="150" spans="1:8" x14ac:dyDescent="0.25">
      <c r="A150">
        <v>149</v>
      </c>
      <c r="B150">
        <f>Planilha2!C151</f>
        <v>0</v>
      </c>
      <c r="C150">
        <f>IFERROR(IF(LOOKUP(B150,Planilha1!A2:A130)=B150,B150,0),0)</f>
        <v>0</v>
      </c>
      <c r="D150">
        <f>IFERROR(MATCH(C150,Planilha1!A2:A130),0)</f>
        <v>0</v>
      </c>
      <c r="E150">
        <f ca="1">IF(D150=0,0,OFFSET(Planilha1!A1,Planilha3!D150,1))</f>
        <v>0</v>
      </c>
      <c r="F150">
        <f ca="1">IF(D150=0,,OFFSET(Planilha1!A1,Planilha3!D150,2))</f>
        <v>0</v>
      </c>
      <c r="G150">
        <f ca="1">IF(D150=0,0,OFFSET(Planilha1!A1,Planilha3!D150,3))</f>
        <v>0</v>
      </c>
      <c r="H150">
        <f ca="1">IF(D150=0,0,OFFSET(Planilha1!A1,Planilha3!D150,4))</f>
        <v>0</v>
      </c>
    </row>
    <row r="151" spans="1:8" x14ac:dyDescent="0.25">
      <c r="A151">
        <v>150</v>
      </c>
      <c r="B151">
        <f>Planilha2!C152</f>
        <v>0</v>
      </c>
      <c r="C151">
        <f>IFERROR(IF(LOOKUP(B151,Planilha1!A2:A130)=B151,B151,0),0)</f>
        <v>0</v>
      </c>
      <c r="D151">
        <f>IFERROR(MATCH(C151,Planilha1!A2:A130),0)</f>
        <v>0</v>
      </c>
      <c r="E151">
        <f ca="1">IF(D151=0,0,OFFSET(Planilha1!A1,Planilha3!D151,1))</f>
        <v>0</v>
      </c>
      <c r="F151">
        <f ca="1">IF(D151=0,,OFFSET(Planilha1!A1,Planilha3!D151,2))</f>
        <v>0</v>
      </c>
      <c r="G151">
        <f ca="1">IF(D151=0,0,OFFSET(Planilha1!A1,Planilha3!D151,3))</f>
        <v>0</v>
      </c>
      <c r="H151">
        <f ca="1">IF(D151=0,0,OFFSET(Planilha1!A1,Planilha3!D151,4))</f>
        <v>0</v>
      </c>
    </row>
  </sheetData>
  <pageMargins left="0.511811024" right="0.511811024" top="0.78740157499999996" bottom="0.78740157499999996" header="0.31496062000000002" footer="0.31496062000000002"/>
  <ignoredErrors>
    <ignoredError sqref="D3" formulaRange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73A0C-DB47-469C-98D3-1F0B48822DB2}">
  <sheetPr codeName="Planilha3"/>
  <dimension ref="A2:G102"/>
  <sheetViews>
    <sheetView zoomScale="205" zoomScaleNormal="205" workbookViewId="0">
      <selection activeCell="B3" sqref="B3"/>
    </sheetView>
  </sheetViews>
  <sheetFormatPr defaultRowHeight="15" x14ac:dyDescent="0.25"/>
  <cols>
    <col min="1" max="1" width="5.85546875" bestFit="1" customWidth="1"/>
    <col min="2" max="2" width="27.140625" bestFit="1" customWidth="1"/>
    <col min="3" max="3" width="2.28515625" customWidth="1"/>
    <col min="4" max="4" width="11.42578125" customWidth="1"/>
    <col min="5" max="5" width="6.28515625" customWidth="1"/>
    <col min="6" max="6" width="31.28515625" customWidth="1"/>
    <col min="7" max="7" width="11.42578125" bestFit="1" customWidth="1"/>
  </cols>
  <sheetData>
    <row r="2" spans="1:7" x14ac:dyDescent="0.25">
      <c r="A2" s="3" t="s">
        <v>46</v>
      </c>
      <c r="B2" s="3" t="s">
        <v>47</v>
      </c>
      <c r="C2" t="s">
        <v>48</v>
      </c>
      <c r="F2" t="s">
        <v>40</v>
      </c>
      <c r="G2" t="s">
        <v>41</v>
      </c>
    </row>
    <row r="3" spans="1:7" x14ac:dyDescent="0.25">
      <c r="A3" s="1">
        <v>1</v>
      </c>
      <c r="B3" s="2"/>
      <c r="C3">
        <f>B3</f>
        <v>0</v>
      </c>
      <c r="E3">
        <v>1</v>
      </c>
      <c r="F3" t="s">
        <v>5</v>
      </c>
      <c r="G3">
        <f ca="1">SUMIF(Planilha3!F2:F151,Planilha2!F3,Planilha3!E2:E151) + SUMIF(Planilha3!H2:H151,Planilha2!F3,Planilha3!G2:G151)</f>
        <v>0</v>
      </c>
    </row>
    <row r="4" spans="1:7" x14ac:dyDescent="0.25">
      <c r="A4" s="1">
        <v>2</v>
      </c>
      <c r="B4" s="2"/>
      <c r="C4">
        <f>IF(COUNTIF(B3:B3,B4)=0,B4,0)</f>
        <v>0</v>
      </c>
      <c r="E4">
        <v>2</v>
      </c>
      <c r="F4" t="s">
        <v>29</v>
      </c>
      <c r="G4">
        <f ca="1">SUMIF(Planilha3!F2:F151,Planilha2!F4,Planilha3!E2:E151) + SUMIF(Planilha3!H2:H151,Planilha2!F4,Planilha3!G2:G151)</f>
        <v>0</v>
      </c>
    </row>
    <row r="5" spans="1:7" x14ac:dyDescent="0.25">
      <c r="A5" s="1">
        <v>3</v>
      </c>
      <c r="B5" s="2"/>
      <c r="C5">
        <f>IF(COUNTIF(B3:B4,B5)=0,B5,0)</f>
        <v>0</v>
      </c>
      <c r="E5">
        <v>3</v>
      </c>
      <c r="F5" t="s">
        <v>18</v>
      </c>
      <c r="G5">
        <f ca="1">SUMIF(Planilha3!F2:F151,Planilha2!F5,Planilha3!E2:E151) + SUMIF(Planilha3!H2:H151,Planilha2!F5,Planilha3!G2:G151)</f>
        <v>0</v>
      </c>
    </row>
    <row r="6" spans="1:7" x14ac:dyDescent="0.25">
      <c r="A6" s="1">
        <v>4</v>
      </c>
      <c r="B6" s="2"/>
      <c r="C6">
        <f>IF(COUNTIF(B3:B5,B6)=0,B6,0)</f>
        <v>0</v>
      </c>
      <c r="E6">
        <v>4</v>
      </c>
      <c r="F6" t="s">
        <v>25</v>
      </c>
      <c r="G6">
        <f ca="1">SUMIF(Planilha3!F2:F151,Planilha2!F6,Planilha3!E2:E151) + SUMIF(Planilha3!H2:H151,Planilha2!F6,Planilha3!G2:G151)</f>
        <v>0</v>
      </c>
    </row>
    <row r="7" spans="1:7" x14ac:dyDescent="0.25">
      <c r="A7" s="1">
        <v>5</v>
      </c>
      <c r="B7" s="2"/>
      <c r="C7">
        <f>IF(COUNTIF(B3:B6,B7)=0,B7,0)</f>
        <v>0</v>
      </c>
      <c r="E7">
        <v>5</v>
      </c>
      <c r="F7" t="s">
        <v>11</v>
      </c>
      <c r="G7">
        <f ca="1">SUMIF(Planilha3!F2:F151,Planilha2!F7,Planilha3!E2:E151) + SUMIF(Planilha3!H2:H151,Planilha2!F7,Planilha3!G2:G151)</f>
        <v>0</v>
      </c>
    </row>
    <row r="8" spans="1:7" x14ac:dyDescent="0.25">
      <c r="A8" s="1">
        <v>6</v>
      </c>
      <c r="B8" s="2"/>
      <c r="C8">
        <f>IF(COUNTIF(B3:B7,B8)=0,B8,0)</f>
        <v>0</v>
      </c>
      <c r="E8">
        <v>6</v>
      </c>
      <c r="F8" t="s">
        <v>21</v>
      </c>
      <c r="G8">
        <f ca="1">SUMIF(Planilha3!F2:F151,Planilha2!F8,Planilha3!E2:E151) + SUMIF(Planilha3!H2:H151,Planilha2!F8,Planilha3!G2:G151)</f>
        <v>0</v>
      </c>
    </row>
    <row r="9" spans="1:7" x14ac:dyDescent="0.25">
      <c r="A9" s="1">
        <v>7</v>
      </c>
      <c r="B9" s="2"/>
      <c r="C9">
        <f>IF(COUNTIF(B3:B8,B9)=0,B9,0)</f>
        <v>0</v>
      </c>
      <c r="E9">
        <v>7</v>
      </c>
      <c r="F9" t="s">
        <v>6</v>
      </c>
      <c r="G9">
        <f ca="1">SUMIF(Planilha3!F2:F151,Planilha2!F9,Planilha3!E2:E151) + SUMIF(Planilha3!H2:H151,Planilha2!F9,Planilha3!G2:G151)</f>
        <v>0</v>
      </c>
    </row>
    <row r="10" spans="1:7" x14ac:dyDescent="0.25">
      <c r="A10" s="1">
        <v>8</v>
      </c>
      <c r="B10" s="2"/>
      <c r="C10">
        <f>IF(COUNTIF(B3:B9,B10)=0,B10,0)</f>
        <v>0</v>
      </c>
      <c r="E10">
        <v>8</v>
      </c>
      <c r="F10" t="s">
        <v>31</v>
      </c>
      <c r="G10">
        <f ca="1">SUMIF(Planilha3!F2:F151,Planilha2!F10,Planilha3!E2:E151) + SUMIF(Planilha3!H2:H151,Planilha2!F10,Planilha3!G2:G151)</f>
        <v>0</v>
      </c>
    </row>
    <row r="11" spans="1:7" x14ac:dyDescent="0.25">
      <c r="A11" s="1">
        <v>9</v>
      </c>
      <c r="B11" s="2"/>
      <c r="C11">
        <f>IF(COUNTIF(B3:B10,B11)=0,B11,0)</f>
        <v>0</v>
      </c>
      <c r="E11">
        <v>9</v>
      </c>
      <c r="F11" t="s">
        <v>26</v>
      </c>
      <c r="G11">
        <f ca="1">SUMIF(Planilha3!F2:F151,Planilha2!F11,Planilha3!E2:E151) + SUMIF(Planilha3!H2:H151,Planilha2!F11,Planilha3!G2:G151)</f>
        <v>0</v>
      </c>
    </row>
    <row r="12" spans="1:7" x14ac:dyDescent="0.25">
      <c r="A12" s="1">
        <v>10</v>
      </c>
      <c r="B12" s="2"/>
      <c r="C12">
        <f>IF(COUNTIF(B3:B11,B12)=0,B12,0)</f>
        <v>0</v>
      </c>
      <c r="E12">
        <v>10</v>
      </c>
      <c r="F12" t="s">
        <v>15</v>
      </c>
      <c r="G12">
        <f ca="1">SUMIF(Planilha3!F2:F151,Planilha2!F12,Planilha3!E2:E151) + SUMIF(Planilha3!H2:H151,Planilha2!F12,Planilha3!G2:G151)</f>
        <v>0</v>
      </c>
    </row>
    <row r="13" spans="1:7" x14ac:dyDescent="0.25">
      <c r="A13" s="1">
        <v>11</v>
      </c>
      <c r="B13" s="2"/>
      <c r="C13">
        <f>IF(COUNTIF(B3:B12,B13)=0,B13,0)</f>
        <v>0</v>
      </c>
      <c r="E13">
        <v>11</v>
      </c>
      <c r="F13" t="s">
        <v>13</v>
      </c>
      <c r="G13">
        <f ca="1">SUMIF(Planilha3!F2:F151,Planilha2!F13,Planilha3!E2:E151) + SUMIF(Planilha3!H2:H151,Planilha2!F13,Planilha3!G2:G151)</f>
        <v>0</v>
      </c>
    </row>
    <row r="14" spans="1:7" x14ac:dyDescent="0.25">
      <c r="A14" s="1">
        <v>12</v>
      </c>
      <c r="B14" s="2"/>
      <c r="C14">
        <f>IF(COUNTIF(B3:B13,B14)=0,B14,0)</f>
        <v>0</v>
      </c>
      <c r="E14">
        <v>12</v>
      </c>
      <c r="F14" t="s">
        <v>9</v>
      </c>
      <c r="G14">
        <f ca="1">SUMIF(Planilha3!F2:F151,Planilha2!F14,Planilha3!E2:E151) + SUMIF(Planilha3!H2:H151,Planilha2!F14,Planilha3!G2:G151)</f>
        <v>0</v>
      </c>
    </row>
    <row r="15" spans="1:7" x14ac:dyDescent="0.25">
      <c r="A15" s="1">
        <v>13</v>
      </c>
      <c r="B15" s="2"/>
      <c r="C15">
        <f>IF(COUNTIF(B3:B14,B15)=0,B15,0)</f>
        <v>0</v>
      </c>
      <c r="E15">
        <v>13</v>
      </c>
      <c r="F15" t="s">
        <v>7</v>
      </c>
      <c r="G15">
        <f ca="1">SUMIF(Planilha3!F2:F151,Planilha2!F15,Planilha3!E2:E151) + SUMIF(Planilha3!H2:H151,Planilha2!F15,Planilha3!G2:G151)</f>
        <v>0</v>
      </c>
    </row>
    <row r="16" spans="1:7" x14ac:dyDescent="0.25">
      <c r="A16" s="1">
        <v>14</v>
      </c>
      <c r="B16" s="2"/>
      <c r="C16">
        <f>IF(COUNTIF(B3:B15,B16)=0,B16,0)</f>
        <v>0</v>
      </c>
      <c r="E16">
        <v>14</v>
      </c>
      <c r="F16" t="s">
        <v>34</v>
      </c>
      <c r="G16">
        <f ca="1">SUMIF(Planilha3!F2:F151,Planilha2!F16,Planilha3!E2:E151) + SUMIF(Planilha3!H2:H151,Planilha2!F16,Planilha3!G2:G151)</f>
        <v>0</v>
      </c>
    </row>
    <row r="17" spans="1:7" x14ac:dyDescent="0.25">
      <c r="A17" s="1">
        <v>15</v>
      </c>
      <c r="B17" s="2"/>
      <c r="C17">
        <f>IF(COUNTIF(B3:B16,B17)=0,B17,0)</f>
        <v>0</v>
      </c>
      <c r="E17">
        <v>15</v>
      </c>
      <c r="F17" t="s">
        <v>4</v>
      </c>
      <c r="G17">
        <f ca="1">SUMIF(Planilha3!F2:F151,Planilha2!F17,Planilha3!E2:E151) + SUMIF(Planilha3!H2:H151,Planilha2!F17,Planilha3!G2:G151)</f>
        <v>0</v>
      </c>
    </row>
    <row r="18" spans="1:7" x14ac:dyDescent="0.25">
      <c r="A18" s="1">
        <v>16</v>
      </c>
      <c r="B18" s="2"/>
      <c r="C18">
        <f>IF(COUNTIF(B3:B17,B18)=0,B18,0)</f>
        <v>0</v>
      </c>
      <c r="E18">
        <v>16</v>
      </c>
      <c r="F18" t="s">
        <v>28</v>
      </c>
      <c r="G18">
        <f ca="1">SUMIF(Planilha3!F2:F151,Planilha2!F18,Planilha3!E2:E151) + SUMIF(Planilha3!H2:H151,Planilha2!F18,Planilha3!G2:G151)</f>
        <v>0</v>
      </c>
    </row>
    <row r="19" spans="1:7" x14ac:dyDescent="0.25">
      <c r="A19" s="1">
        <v>17</v>
      </c>
      <c r="B19" s="2"/>
      <c r="C19">
        <f>IF(COUNTIF(B3:B18,B19)=0,B19,0)</f>
        <v>0</v>
      </c>
      <c r="E19">
        <v>17</v>
      </c>
      <c r="F19" t="s">
        <v>3</v>
      </c>
      <c r="G19">
        <f ca="1">SUMIF(Planilha3!F2:F151,Planilha2!F19,Planilha3!E2:E151) + SUMIF(Planilha3!H2:H151,Planilha2!F19,Planilha3!G2:G151)</f>
        <v>0</v>
      </c>
    </row>
    <row r="20" spans="1:7" x14ac:dyDescent="0.25">
      <c r="A20" s="1">
        <v>18</v>
      </c>
      <c r="B20" s="2"/>
      <c r="C20">
        <f>IF(COUNTIF(B3:B19,B20)=0,B20,0)</f>
        <v>0</v>
      </c>
      <c r="E20">
        <v>18</v>
      </c>
      <c r="F20" t="s">
        <v>22</v>
      </c>
      <c r="G20">
        <f ca="1">SUMIF(Planilha3!F2:F151,Planilha2!F20,Planilha3!E2:E151) + SUMIF(Planilha3!H2:H151,Planilha2!F20,Planilha3!G2:G151)</f>
        <v>0</v>
      </c>
    </row>
    <row r="21" spans="1:7" x14ac:dyDescent="0.25">
      <c r="A21" s="1">
        <v>19</v>
      </c>
      <c r="B21" s="2"/>
      <c r="C21">
        <f>IF(COUNTIF(B3:B20,B21)=0,B21,0)</f>
        <v>0</v>
      </c>
      <c r="E21">
        <v>19</v>
      </c>
      <c r="F21" t="s">
        <v>19</v>
      </c>
      <c r="G21">
        <f ca="1">SUMIF(Planilha3!F2:F151,Planilha2!F21,Planilha3!E2:E151) + SUMIF(Planilha3!H2:H151,Planilha2!F21,Planilha3!G2:G151)</f>
        <v>0</v>
      </c>
    </row>
    <row r="22" spans="1:7" x14ac:dyDescent="0.25">
      <c r="A22" s="1">
        <v>20</v>
      </c>
      <c r="B22" s="2"/>
      <c r="C22">
        <f>IF(COUNTIF(B3:B21,B22)=0,B22,0)</f>
        <v>0</v>
      </c>
      <c r="E22">
        <v>20</v>
      </c>
      <c r="F22" t="s">
        <v>14</v>
      </c>
      <c r="G22">
        <f ca="1">SUMIF(Planilha3!F2:F151,Planilha2!F22,Planilha3!E2:E151) + SUMIF(Planilha3!H2:H151,Planilha2!F22,Planilha3!G2:G151)</f>
        <v>0</v>
      </c>
    </row>
    <row r="23" spans="1:7" x14ac:dyDescent="0.25">
      <c r="A23" s="1">
        <v>21</v>
      </c>
      <c r="B23" s="2"/>
      <c r="C23">
        <f>IF(COUNTIF(B3:B22,B23)=0,B23,0)</f>
        <v>0</v>
      </c>
      <c r="E23">
        <v>21</v>
      </c>
      <c r="F23" t="s">
        <v>36</v>
      </c>
      <c r="G23">
        <f ca="1">SUMIF(Planilha3!F2:F151,Planilha2!F23,Planilha3!E2:E151) + SUMIF(Planilha3!H2:H151,Planilha2!F23,Planilha3!G2:G151)</f>
        <v>0</v>
      </c>
    </row>
    <row r="24" spans="1:7" x14ac:dyDescent="0.25">
      <c r="A24" s="1">
        <v>22</v>
      </c>
      <c r="B24" s="2"/>
      <c r="C24">
        <f>IF(COUNTIF(B3:B23,B24)=0,B24,0)</f>
        <v>0</v>
      </c>
      <c r="E24">
        <v>22</v>
      </c>
      <c r="F24" t="s">
        <v>27</v>
      </c>
      <c r="G24">
        <f ca="1">SUMIF(Planilha3!F2:F151,Planilha2!F24,Planilha3!E2:E151) + SUMIF(Planilha3!H2:H151,Planilha2!F24,Planilha3!G2:G151)</f>
        <v>0</v>
      </c>
    </row>
    <row r="25" spans="1:7" x14ac:dyDescent="0.25">
      <c r="A25" s="1">
        <v>23</v>
      </c>
      <c r="B25" s="2"/>
      <c r="C25">
        <f>IF(COUNTIF(B3:B24,B25)=0,B25,0)</f>
        <v>0</v>
      </c>
      <c r="E25">
        <v>23</v>
      </c>
      <c r="F25" t="s">
        <v>39</v>
      </c>
      <c r="G25">
        <f ca="1">SUMIF(Planilha3!F2:F151,Planilha2!F25,Planilha3!E2:E151) + SUMIF(Planilha3!H2:H151,Planilha2!F25,Planilha3!G2:G151)</f>
        <v>0</v>
      </c>
    </row>
    <row r="26" spans="1:7" x14ac:dyDescent="0.25">
      <c r="A26" s="1">
        <v>24</v>
      </c>
      <c r="B26" s="2"/>
      <c r="C26">
        <f>IF(COUNTIF(B3:B25,B26)=0,B26,0)</f>
        <v>0</v>
      </c>
      <c r="E26">
        <v>24</v>
      </c>
      <c r="F26" t="s">
        <v>20</v>
      </c>
      <c r="G26">
        <f ca="1">SUMIF(Planilha3!F2:F151,Planilha2!F26,Planilha3!E2:E151) + SUMIF(Planilha3!H2:H151,Planilha2!F26,Planilha3!G2:G151)</f>
        <v>0</v>
      </c>
    </row>
    <row r="27" spans="1:7" x14ac:dyDescent="0.25">
      <c r="A27" s="1">
        <v>25</v>
      </c>
      <c r="B27" s="2"/>
      <c r="C27">
        <f>IF(COUNTIF(B3:B26,B27)=0,B27,0)</f>
        <v>0</v>
      </c>
      <c r="E27">
        <v>25</v>
      </c>
      <c r="F27" t="s">
        <v>23</v>
      </c>
      <c r="G27">
        <f ca="1">SUMIF(Planilha3!F2:F151,Planilha2!F27,Planilha3!E2:E151) + SUMIF(Planilha3!H2:H151,Planilha2!F27,Planilha3!G2:G151)</f>
        <v>0</v>
      </c>
    </row>
    <row r="28" spans="1:7" x14ac:dyDescent="0.25">
      <c r="A28" s="1">
        <v>26</v>
      </c>
      <c r="B28" s="2"/>
      <c r="C28">
        <f>IF(COUNTIF(B3:B27,B28)=0,B28,0)</f>
        <v>0</v>
      </c>
      <c r="E28">
        <v>26</v>
      </c>
      <c r="F28" t="s">
        <v>8</v>
      </c>
      <c r="G28">
        <f ca="1">SUMIF(Planilha3!F2:F151,Planilha2!F28,Planilha3!E2:E151) + SUMIF(Planilha3!H2:H151,Planilha2!F28,Planilha3!G2:G151)</f>
        <v>0</v>
      </c>
    </row>
    <row r="29" spans="1:7" x14ac:dyDescent="0.25">
      <c r="A29" s="1">
        <v>27</v>
      </c>
      <c r="B29" s="2"/>
      <c r="C29">
        <f>IF(COUNTIF(B3:B28,B29)=0,B29,0)</f>
        <v>0</v>
      </c>
      <c r="E29">
        <v>27</v>
      </c>
      <c r="F29" t="s">
        <v>17</v>
      </c>
      <c r="G29">
        <f ca="1">SUMIF(Planilha3!F2:F151,Planilha2!F29,Planilha3!E2:E151) + SUMIF(Planilha3!H2:H151,Planilha2!F29,Planilha3!G2:G151)</f>
        <v>0</v>
      </c>
    </row>
    <row r="30" spans="1:7" x14ac:dyDescent="0.25">
      <c r="A30" s="1">
        <v>28</v>
      </c>
      <c r="B30" s="2"/>
      <c r="C30">
        <f>IF(COUNTIF(B3:B29,B30)=0,B30,0)</f>
        <v>0</v>
      </c>
      <c r="E30">
        <v>28</v>
      </c>
      <c r="F30" t="s">
        <v>30</v>
      </c>
      <c r="G30">
        <f ca="1">SUMIF(Planilha3!F2:F151,Planilha2!F30,Planilha3!E2:E151) + SUMIF(Planilha3!H2:H151,Planilha2!F30,Planilha3!G2:G151)</f>
        <v>0</v>
      </c>
    </row>
    <row r="31" spans="1:7" x14ac:dyDescent="0.25">
      <c r="A31" s="1">
        <v>29</v>
      </c>
      <c r="B31" s="2"/>
      <c r="C31">
        <f>IF(COUNTIF(B3:B30,B31)=0,B31,0)</f>
        <v>0</v>
      </c>
      <c r="E31">
        <v>29</v>
      </c>
      <c r="F31" t="s">
        <v>16</v>
      </c>
      <c r="G31">
        <f ca="1">SUMIF(Planilha3!F2:F151,Planilha2!F31,Planilha3!E2:E151) + SUMIF(Planilha3!H2:H151,Planilha2!F31,Planilha3!G2:G151)</f>
        <v>0</v>
      </c>
    </row>
    <row r="32" spans="1:7" x14ac:dyDescent="0.25">
      <c r="A32" s="1">
        <v>30</v>
      </c>
      <c r="B32" s="2"/>
      <c r="C32">
        <f>IF(COUNTIF(B3:B31,B32)=0,B32,0)</f>
        <v>0</v>
      </c>
      <c r="E32">
        <v>30</v>
      </c>
      <c r="F32" t="s">
        <v>12</v>
      </c>
      <c r="G32">
        <f ca="1">SUMIF(Planilha3!F2:F151,Planilha2!F32,Planilha3!E2:E151) + SUMIF(Planilha3!H2:H151,Planilha2!F32,Planilha3!G2:G151)</f>
        <v>0</v>
      </c>
    </row>
    <row r="33" spans="1:7" x14ac:dyDescent="0.25">
      <c r="A33" s="1">
        <v>31</v>
      </c>
      <c r="B33" s="2"/>
      <c r="C33">
        <f>IF(COUNTIF(B3:B32,B33)=0,B33,0)</f>
        <v>0</v>
      </c>
      <c r="E33">
        <v>31</v>
      </c>
      <c r="F33" t="s">
        <v>33</v>
      </c>
      <c r="G33">
        <f ca="1">SUMIF(Planilha3!F2:F151,Planilha2!F33,Planilha3!E2:E151) + SUMIF(Planilha3!H2:H151,Planilha2!F33,Planilha3!G2:G151)</f>
        <v>0</v>
      </c>
    </row>
    <row r="34" spans="1:7" x14ac:dyDescent="0.25">
      <c r="A34" s="1">
        <v>32</v>
      </c>
      <c r="B34" s="2"/>
      <c r="C34">
        <f>IF(COUNTIF(B3:B33,B34)=0,B34,0)</f>
        <v>0</v>
      </c>
      <c r="E34">
        <v>32</v>
      </c>
      <c r="F34" t="s">
        <v>32</v>
      </c>
      <c r="G34">
        <f ca="1">SUMIF(Planilha3!F2:F151,Planilha2!F34,Planilha3!E2:E151) + SUMIF(Planilha3!H2:H151,Planilha2!F34,Planilha3!G2:G151)</f>
        <v>0</v>
      </c>
    </row>
    <row r="35" spans="1:7" x14ac:dyDescent="0.25">
      <c r="A35" s="1">
        <v>33</v>
      </c>
      <c r="B35" s="2"/>
      <c r="C35">
        <f>IF(COUNTIF(B3:B34,B35)=0,B35,0)</f>
        <v>0</v>
      </c>
      <c r="E35">
        <v>33</v>
      </c>
      <c r="F35" t="s">
        <v>35</v>
      </c>
      <c r="G35">
        <f ca="1">SUMIF(Planilha3!F2:F151,Planilha2!F35,Planilha3!E2:E151) + SUMIF(Planilha3!H2:H151,Planilha2!F35,Planilha3!G2:G151)</f>
        <v>0</v>
      </c>
    </row>
    <row r="36" spans="1:7" x14ac:dyDescent="0.25">
      <c r="A36" s="1">
        <v>34</v>
      </c>
      <c r="B36" s="2"/>
      <c r="C36">
        <f>IF(COUNTIF(B3:B35,B36)=0,B36,0)</f>
        <v>0</v>
      </c>
      <c r="E36">
        <v>34</v>
      </c>
      <c r="F36" t="s">
        <v>24</v>
      </c>
      <c r="G36">
        <f ca="1">SUMIF(Planilha3!F2:F151,Planilha2!F36,Planilha3!E2:E151) + SUMIF(Planilha3!H2:H151,Planilha2!F36,Planilha3!G2:G151)</f>
        <v>0</v>
      </c>
    </row>
    <row r="37" spans="1:7" x14ac:dyDescent="0.25">
      <c r="A37" s="1">
        <v>35</v>
      </c>
      <c r="B37" s="2"/>
      <c r="C37">
        <f>IF(COUNTIF(B3:B36,B37)=0,B37,0)</f>
        <v>0</v>
      </c>
      <c r="E37">
        <v>35</v>
      </c>
      <c r="F37" t="s">
        <v>10</v>
      </c>
      <c r="G37">
        <f ca="1">SUMIF(Planilha3!F2:F151,Planilha2!F37,Planilha3!E2:E151) + SUMIF(Planilha3!H2:H151,Planilha2!F37,Planilha3!G2:G151)</f>
        <v>0</v>
      </c>
    </row>
    <row r="38" spans="1:7" x14ac:dyDescent="0.25">
      <c r="A38" s="1">
        <v>36</v>
      </c>
      <c r="B38" s="2"/>
      <c r="C38">
        <f>IF(COUNTIF(B3:B37,B38)=0,B38,0)</f>
        <v>0</v>
      </c>
    </row>
    <row r="39" spans="1:7" x14ac:dyDescent="0.25">
      <c r="A39" s="1">
        <v>37</v>
      </c>
      <c r="B39" s="2"/>
      <c r="C39">
        <f>IF(COUNTIF(B3:B38,B39)=0,B39,0)</f>
        <v>0</v>
      </c>
    </row>
    <row r="40" spans="1:7" x14ac:dyDescent="0.25">
      <c r="A40" s="1">
        <v>38</v>
      </c>
      <c r="B40" s="2"/>
      <c r="C40">
        <f>IF(COUNTIF(B3:B39,B40)=0,B40,0)</f>
        <v>0</v>
      </c>
    </row>
    <row r="41" spans="1:7" x14ac:dyDescent="0.25">
      <c r="A41" s="1">
        <v>39</v>
      </c>
      <c r="B41" s="2"/>
      <c r="C41">
        <f>IF(COUNTIF(B3:B40,B41)=0,B41,0)</f>
        <v>0</v>
      </c>
    </row>
    <row r="42" spans="1:7" x14ac:dyDescent="0.25">
      <c r="A42" s="1">
        <v>40</v>
      </c>
      <c r="B42" s="2"/>
      <c r="C42">
        <f>IF(COUNTIF(B3:B41,B42)=0,B42,0)</f>
        <v>0</v>
      </c>
    </row>
    <row r="43" spans="1:7" x14ac:dyDescent="0.25">
      <c r="A43" s="1">
        <v>41</v>
      </c>
      <c r="B43" s="2"/>
      <c r="C43">
        <f>IF(COUNTIF(B3:B42,B43)=0,B43,0)</f>
        <v>0</v>
      </c>
    </row>
    <row r="44" spans="1:7" x14ac:dyDescent="0.25">
      <c r="A44" s="1">
        <v>42</v>
      </c>
      <c r="B44" s="2"/>
      <c r="C44">
        <f>IF(COUNTIF(B3:B43,B44)=0,B44,0)</f>
        <v>0</v>
      </c>
    </row>
    <row r="45" spans="1:7" x14ac:dyDescent="0.25">
      <c r="A45" s="1">
        <v>43</v>
      </c>
      <c r="B45" s="2"/>
      <c r="C45">
        <f>IF(COUNTIF(B3:B44,B45)=0,B45,0)</f>
        <v>0</v>
      </c>
    </row>
    <row r="46" spans="1:7" x14ac:dyDescent="0.25">
      <c r="A46" s="1">
        <v>44</v>
      </c>
      <c r="B46" s="2"/>
      <c r="C46">
        <f>IF(COUNTIF(B3:B45,B46)=0,B46,0)</f>
        <v>0</v>
      </c>
    </row>
    <row r="47" spans="1:7" x14ac:dyDescent="0.25">
      <c r="A47" s="1">
        <v>45</v>
      </c>
      <c r="B47" s="2"/>
      <c r="C47">
        <f>IF(COUNTIF(B3:B46,B47)=0,B47,0)</f>
        <v>0</v>
      </c>
    </row>
    <row r="48" spans="1:7" x14ac:dyDescent="0.25">
      <c r="A48" s="1">
        <v>46</v>
      </c>
      <c r="B48" s="2"/>
      <c r="C48">
        <f>IF(COUNTIF(B3:B47,B48)=0,B48,0)</f>
        <v>0</v>
      </c>
    </row>
    <row r="49" spans="1:3" x14ac:dyDescent="0.25">
      <c r="A49" s="1">
        <v>47</v>
      </c>
      <c r="B49" s="2"/>
      <c r="C49">
        <f>IF(COUNTIF(B3:B48,B49)=0,B49,0)</f>
        <v>0</v>
      </c>
    </row>
    <row r="50" spans="1:3" x14ac:dyDescent="0.25">
      <c r="A50" s="1">
        <v>48</v>
      </c>
      <c r="B50" s="2"/>
      <c r="C50">
        <f>IF(COUNTIF(B3:B49,B50)=0,B50,0)</f>
        <v>0</v>
      </c>
    </row>
    <row r="51" spans="1:3" x14ac:dyDescent="0.25">
      <c r="A51" s="1">
        <v>49</v>
      </c>
      <c r="B51" s="2"/>
      <c r="C51">
        <f>IF(COUNTIF(B3:B50,B51)=0,B51,0)</f>
        <v>0</v>
      </c>
    </row>
    <row r="52" spans="1:3" x14ac:dyDescent="0.25">
      <c r="A52" s="1">
        <v>50</v>
      </c>
      <c r="B52" s="2"/>
      <c r="C52">
        <f>IF(COUNTIF(B3:B51,B52)=0,B52,0)</f>
        <v>0</v>
      </c>
    </row>
    <row r="53" spans="1:3" x14ac:dyDescent="0.25">
      <c r="A53" s="1">
        <v>51</v>
      </c>
      <c r="B53" s="2"/>
      <c r="C53">
        <f>IF(COUNTIF(B3:B52,B53)=0,B53,0)</f>
        <v>0</v>
      </c>
    </row>
    <row r="54" spans="1:3" x14ac:dyDescent="0.25">
      <c r="A54" s="1">
        <v>52</v>
      </c>
      <c r="B54" s="2"/>
      <c r="C54">
        <f>IF(COUNTIF(B3:B53,B54)=0,B54,0)</f>
        <v>0</v>
      </c>
    </row>
    <row r="55" spans="1:3" x14ac:dyDescent="0.25">
      <c r="A55" s="1">
        <v>53</v>
      </c>
      <c r="B55" s="2"/>
      <c r="C55">
        <f>IF(COUNTIF(B3:B54,B55)=0,B55,0)</f>
        <v>0</v>
      </c>
    </row>
    <row r="56" spans="1:3" x14ac:dyDescent="0.25">
      <c r="A56" s="1">
        <v>54</v>
      </c>
      <c r="B56" s="2"/>
      <c r="C56">
        <f>IF(COUNTIF(B3:B55,B56)=0,B56,0)</f>
        <v>0</v>
      </c>
    </row>
    <row r="57" spans="1:3" x14ac:dyDescent="0.25">
      <c r="A57" s="1">
        <v>55</v>
      </c>
      <c r="B57" s="2"/>
      <c r="C57">
        <f>IF(COUNTIF(B3:B56,B57)=0,B57,0)</f>
        <v>0</v>
      </c>
    </row>
    <row r="58" spans="1:3" x14ac:dyDescent="0.25">
      <c r="A58" s="1">
        <v>56</v>
      </c>
      <c r="B58" s="2"/>
      <c r="C58">
        <f>IF(COUNTIF(B3:B57,B58)=0,B58,0)</f>
        <v>0</v>
      </c>
    </row>
    <row r="59" spans="1:3" x14ac:dyDescent="0.25">
      <c r="A59" s="1">
        <v>57</v>
      </c>
      <c r="B59" s="2"/>
      <c r="C59">
        <f>IF(COUNTIF(B3:B58,B59)=0,B59,0)</f>
        <v>0</v>
      </c>
    </row>
    <row r="60" spans="1:3" x14ac:dyDescent="0.25">
      <c r="A60" s="1">
        <v>58</v>
      </c>
      <c r="B60" s="2"/>
      <c r="C60">
        <f>IF(COUNTIF(B3:B59,B60)=0,B60,0)</f>
        <v>0</v>
      </c>
    </row>
    <row r="61" spans="1:3" x14ac:dyDescent="0.25">
      <c r="A61" s="1">
        <v>59</v>
      </c>
      <c r="B61" s="2"/>
      <c r="C61">
        <f>IF(COUNTIF(B3:B60,B61)=0,B61,0)</f>
        <v>0</v>
      </c>
    </row>
    <row r="62" spans="1:3" x14ac:dyDescent="0.25">
      <c r="A62" s="1">
        <v>60</v>
      </c>
      <c r="B62" s="2"/>
      <c r="C62">
        <f>IF(COUNTIF(B3:B61,B62)=0,B62,0)</f>
        <v>0</v>
      </c>
    </row>
    <row r="63" spans="1:3" x14ac:dyDescent="0.25">
      <c r="A63" s="1">
        <v>61</v>
      </c>
      <c r="B63" s="2"/>
      <c r="C63">
        <f>IF(COUNTIF(B3:B62,B63)=0,B63,0)</f>
        <v>0</v>
      </c>
    </row>
    <row r="64" spans="1:3" x14ac:dyDescent="0.25">
      <c r="A64" s="1">
        <v>62</v>
      </c>
      <c r="B64" s="2"/>
      <c r="C64">
        <f>IF(COUNTIF(B3:B63,B64)=0,B64,0)</f>
        <v>0</v>
      </c>
    </row>
    <row r="65" spans="1:3" x14ac:dyDescent="0.25">
      <c r="A65" s="1">
        <v>63</v>
      </c>
      <c r="B65" s="2"/>
      <c r="C65">
        <f>IF(COUNTIF(B3:B64,B65)=0,B65,0)</f>
        <v>0</v>
      </c>
    </row>
    <row r="66" spans="1:3" x14ac:dyDescent="0.25">
      <c r="A66" s="1">
        <v>64</v>
      </c>
      <c r="B66" s="2"/>
      <c r="C66">
        <f>IF(COUNTIF(B3:B65,B66)=0,B66,0)</f>
        <v>0</v>
      </c>
    </row>
    <row r="67" spans="1:3" x14ac:dyDescent="0.25">
      <c r="A67" s="1">
        <v>65</v>
      </c>
      <c r="B67" s="2"/>
      <c r="C67">
        <f>IF(COUNTIF(B3:B66,B67)=0,B67,0)</f>
        <v>0</v>
      </c>
    </row>
    <row r="68" spans="1:3" x14ac:dyDescent="0.25">
      <c r="A68" s="1">
        <v>66</v>
      </c>
      <c r="B68" s="2"/>
      <c r="C68">
        <f>IF(COUNTIF(B3:B67,B68)=0,B68,0)</f>
        <v>0</v>
      </c>
    </row>
    <row r="69" spans="1:3" x14ac:dyDescent="0.25">
      <c r="A69" s="1">
        <v>67</v>
      </c>
      <c r="B69" s="2"/>
      <c r="C69">
        <f>IF(COUNTIF(B3:B68,B69)=0,B69,0)</f>
        <v>0</v>
      </c>
    </row>
    <row r="70" spans="1:3" x14ac:dyDescent="0.25">
      <c r="A70" s="1">
        <v>68</v>
      </c>
      <c r="B70" s="2"/>
      <c r="C70">
        <f>IF(COUNTIF(B3:B69,B70)=0,B70,0)</f>
        <v>0</v>
      </c>
    </row>
    <row r="71" spans="1:3" x14ac:dyDescent="0.25">
      <c r="A71" s="1">
        <v>69</v>
      </c>
      <c r="B71" s="2"/>
      <c r="C71">
        <f>IF(COUNTIF(B3:B70,B71)=0,B71,0)</f>
        <v>0</v>
      </c>
    </row>
    <row r="72" spans="1:3" x14ac:dyDescent="0.25">
      <c r="A72" s="1">
        <v>70</v>
      </c>
      <c r="B72" s="2"/>
      <c r="C72">
        <f>IF(COUNTIF(B3:B71,B72)=0,B72,0)</f>
        <v>0</v>
      </c>
    </row>
    <row r="73" spans="1:3" x14ac:dyDescent="0.25">
      <c r="A73" s="1">
        <v>71</v>
      </c>
      <c r="B73" s="2"/>
      <c r="C73">
        <f>IF(COUNTIF(B3:B72,B73)=0,B73,0)</f>
        <v>0</v>
      </c>
    </row>
    <row r="74" spans="1:3" x14ac:dyDescent="0.25">
      <c r="A74" s="1">
        <v>72</v>
      </c>
      <c r="B74" s="2"/>
      <c r="C74">
        <f>IF(COUNTIF(B3:B73,B74)=0,B74,0)</f>
        <v>0</v>
      </c>
    </row>
    <row r="75" spans="1:3" x14ac:dyDescent="0.25">
      <c r="A75" s="1">
        <v>73</v>
      </c>
      <c r="B75" s="2"/>
      <c r="C75">
        <f>IF(COUNTIF(B3:B74,B75)=0,B75,0)</f>
        <v>0</v>
      </c>
    </row>
    <row r="76" spans="1:3" x14ac:dyDescent="0.25">
      <c r="A76" s="1">
        <v>74</v>
      </c>
      <c r="B76" s="2"/>
      <c r="C76">
        <f>IF(COUNTIF(B3:B75,B76)=0,B76,0)</f>
        <v>0</v>
      </c>
    </row>
    <row r="77" spans="1:3" x14ac:dyDescent="0.25">
      <c r="A77" s="1">
        <v>75</v>
      </c>
      <c r="B77" s="2"/>
      <c r="C77">
        <f>IF(COUNTIF(B3:B76,B77)=0,B77,0)</f>
        <v>0</v>
      </c>
    </row>
    <row r="78" spans="1:3" x14ac:dyDescent="0.25">
      <c r="A78" s="1">
        <v>76</v>
      </c>
      <c r="B78" s="2"/>
      <c r="C78">
        <f>IF(COUNTIF(B3:B77,B78)=0,B78,0)</f>
        <v>0</v>
      </c>
    </row>
    <row r="79" spans="1:3" x14ac:dyDescent="0.25">
      <c r="A79" s="1">
        <v>77</v>
      </c>
      <c r="B79" s="2"/>
      <c r="C79">
        <f>IF(COUNTIF(B3:B78,B79)=0,B79,0)</f>
        <v>0</v>
      </c>
    </row>
    <row r="80" spans="1:3" x14ac:dyDescent="0.25">
      <c r="A80" s="1">
        <v>78</v>
      </c>
      <c r="B80" s="2"/>
      <c r="C80">
        <f>IF(COUNTIF(B3:B79,B80)=0,B80,0)</f>
        <v>0</v>
      </c>
    </row>
    <row r="81" spans="1:3" x14ac:dyDescent="0.25">
      <c r="A81" s="1">
        <v>79</v>
      </c>
      <c r="B81" s="2"/>
      <c r="C81">
        <f>IF(COUNTIF(B3:B80,B81)=0,B81,0)</f>
        <v>0</v>
      </c>
    </row>
    <row r="82" spans="1:3" x14ac:dyDescent="0.25">
      <c r="A82" s="1">
        <v>80</v>
      </c>
      <c r="B82" s="2"/>
      <c r="C82">
        <f>IF(COUNTIF(B3:B81,B82)=0,B82,0)</f>
        <v>0</v>
      </c>
    </row>
    <row r="83" spans="1:3" x14ac:dyDescent="0.25">
      <c r="A83" s="1">
        <v>81</v>
      </c>
      <c r="B83" s="2"/>
      <c r="C83">
        <f>IF(COUNTIF(B3:B82,B83)=0,B83,0)</f>
        <v>0</v>
      </c>
    </row>
    <row r="84" spans="1:3" x14ac:dyDescent="0.25">
      <c r="A84" s="1">
        <v>82</v>
      </c>
      <c r="B84" s="2"/>
      <c r="C84">
        <f>IF(COUNTIF(B3:B83,B84)=0,B84,0)</f>
        <v>0</v>
      </c>
    </row>
    <row r="85" spans="1:3" x14ac:dyDescent="0.25">
      <c r="A85" s="1">
        <v>83</v>
      </c>
      <c r="B85" s="2"/>
      <c r="C85">
        <f>IF(COUNTIF(B3:B84,B85)=0,B85,0)</f>
        <v>0</v>
      </c>
    </row>
    <row r="86" spans="1:3" x14ac:dyDescent="0.25">
      <c r="A86" s="1">
        <v>84</v>
      </c>
      <c r="B86" s="2"/>
      <c r="C86">
        <f>IF(COUNTIF(B3:B85,B86)=0,B86,0)</f>
        <v>0</v>
      </c>
    </row>
    <row r="87" spans="1:3" x14ac:dyDescent="0.25">
      <c r="A87" s="1">
        <v>85</v>
      </c>
      <c r="B87" s="2"/>
      <c r="C87">
        <f>IF(COUNTIF(B3:B86,B87)=0,B87,0)</f>
        <v>0</v>
      </c>
    </row>
    <row r="88" spans="1:3" x14ac:dyDescent="0.25">
      <c r="A88" s="1">
        <v>86</v>
      </c>
      <c r="B88" s="2"/>
      <c r="C88">
        <f>IF(COUNTIF(B3:B87,B88)=0,B88,0)</f>
        <v>0</v>
      </c>
    </row>
    <row r="89" spans="1:3" x14ac:dyDescent="0.25">
      <c r="A89" s="1">
        <v>87</v>
      </c>
      <c r="B89" s="2"/>
      <c r="C89">
        <f>IF(COUNTIF(B3:B88,B89)=0,B89,0)</f>
        <v>0</v>
      </c>
    </row>
    <row r="90" spans="1:3" x14ac:dyDescent="0.25">
      <c r="A90" s="1">
        <v>88</v>
      </c>
      <c r="B90" s="2"/>
      <c r="C90">
        <f>IF(COUNTIF(B3:B89,B90)=0,B90,0)</f>
        <v>0</v>
      </c>
    </row>
    <row r="91" spans="1:3" x14ac:dyDescent="0.25">
      <c r="A91" s="1">
        <v>89</v>
      </c>
      <c r="B91" s="2"/>
      <c r="C91">
        <f>IF(COUNTIF(B3:B90,B91)=0,B91,0)</f>
        <v>0</v>
      </c>
    </row>
    <row r="92" spans="1:3" x14ac:dyDescent="0.25">
      <c r="A92" s="1">
        <v>90</v>
      </c>
      <c r="B92" s="2"/>
      <c r="C92">
        <f>IF(COUNTIF(B3:B91,B92)=0,B92,0)</f>
        <v>0</v>
      </c>
    </row>
    <row r="93" spans="1:3" x14ac:dyDescent="0.25">
      <c r="A93" s="1">
        <v>91</v>
      </c>
      <c r="B93" s="2"/>
      <c r="C93">
        <f>IF(COUNTIF(B3:B92,B93)=0,B93,0)</f>
        <v>0</v>
      </c>
    </row>
    <row r="94" spans="1:3" x14ac:dyDescent="0.25">
      <c r="A94" s="1">
        <v>92</v>
      </c>
      <c r="B94" s="2"/>
      <c r="C94">
        <f>IF(COUNTIF(B3:B93,B94)=0,B94,0)</f>
        <v>0</v>
      </c>
    </row>
    <row r="95" spans="1:3" x14ac:dyDescent="0.25">
      <c r="A95" s="1">
        <v>93</v>
      </c>
      <c r="B95" s="2"/>
      <c r="C95">
        <f>IF(COUNTIF(B3:B94,B95)=0,B95,0)</f>
        <v>0</v>
      </c>
    </row>
    <row r="96" spans="1:3" x14ac:dyDescent="0.25">
      <c r="A96" s="1">
        <v>94</v>
      </c>
      <c r="B96" s="2"/>
      <c r="C96">
        <f>IF(COUNTIF(B3:B95,B96)=0,B96,0)</f>
        <v>0</v>
      </c>
    </row>
    <row r="97" spans="1:3" x14ac:dyDescent="0.25">
      <c r="A97" s="1">
        <v>95</v>
      </c>
      <c r="B97" s="2"/>
      <c r="C97">
        <f>IF(COUNTIF(B3:B96,B97)=0,B97,0)</f>
        <v>0</v>
      </c>
    </row>
    <row r="98" spans="1:3" x14ac:dyDescent="0.25">
      <c r="A98" s="1">
        <v>96</v>
      </c>
      <c r="B98" s="2"/>
      <c r="C98">
        <f>IF(COUNTIF(B3:B97,B98)=0,B98,0)</f>
        <v>0</v>
      </c>
    </row>
    <row r="99" spans="1:3" x14ac:dyDescent="0.25">
      <c r="A99" s="1">
        <v>97</v>
      </c>
      <c r="B99" s="2"/>
      <c r="C99">
        <f>IF(COUNTIF(B3:B98,B99)=0,B99,0)</f>
        <v>0</v>
      </c>
    </row>
    <row r="100" spans="1:3" x14ac:dyDescent="0.25">
      <c r="A100" s="1">
        <v>98</v>
      </c>
      <c r="B100" s="2"/>
      <c r="C100">
        <f>IF(COUNTIF(B3:B99,B100)=0,B100,0)</f>
        <v>0</v>
      </c>
    </row>
    <row r="101" spans="1:3" x14ac:dyDescent="0.25">
      <c r="A101" s="1">
        <v>99</v>
      </c>
      <c r="B101" s="2"/>
      <c r="C101">
        <f>IF(COUNTIF(B3:B100,B101)=0,B101,0)</f>
        <v>0</v>
      </c>
    </row>
    <row r="102" spans="1:3" x14ac:dyDescent="0.25">
      <c r="A102" s="1">
        <v>100</v>
      </c>
      <c r="B102" s="2"/>
      <c r="C102">
        <f>IF(COUNTIF(B3:B101,B102)=0,B102,0)</f>
        <v>0</v>
      </c>
    </row>
  </sheetData>
  <sortState xmlns:xlrd2="http://schemas.microsoft.com/office/spreadsheetml/2017/richdata2" ref="B3:B139">
    <sortCondition ref="B139"/>
  </sortState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D1C1D2-1A7A-49A2-9EA3-26BC379A4E7E}">
  <sheetPr codeName="Planilha4"/>
  <dimension ref="A1:H130"/>
  <sheetViews>
    <sheetView zoomScale="250" zoomScaleNormal="250" workbookViewId="0">
      <selection activeCell="D8" sqref="D8"/>
    </sheetView>
  </sheetViews>
  <sheetFormatPr defaultRowHeight="15" x14ac:dyDescent="0.25"/>
  <cols>
    <col min="5" max="5" width="34.42578125" bestFit="1" customWidth="1"/>
    <col min="6" max="7" width="11.42578125" bestFit="1" customWidth="1"/>
  </cols>
  <sheetData>
    <row r="1" spans="1:8" x14ac:dyDescent="0.25">
      <c r="A1">
        <v>13</v>
      </c>
      <c r="B1">
        <v>0</v>
      </c>
      <c r="D1" t="s">
        <v>113</v>
      </c>
      <c r="E1" t="s">
        <v>40</v>
      </c>
      <c r="F1" t="s">
        <v>50</v>
      </c>
      <c r="G1" t="s">
        <v>51</v>
      </c>
      <c r="H1" t="s">
        <v>52</v>
      </c>
    </row>
    <row r="2" spans="1:8" x14ac:dyDescent="0.25">
      <c r="A2">
        <v>25</v>
      </c>
      <c r="B2">
        <v>0</v>
      </c>
      <c r="D2">
        <v>1</v>
      </c>
      <c r="E2" t="s">
        <v>84</v>
      </c>
      <c r="F2">
        <f>SUMIFS(Planilha1!C2:C130,Planilha1!B2:B130,1,Planilha1!D2:D130,Planilha4!E2) + SUMIFS(Planilha1!E2:E130,Planilha1!B2:B130,1,Planilha1!F2:F130,Planilha4!E2)</f>
        <v>0</v>
      </c>
      <c r="G2">
        <v>0</v>
      </c>
      <c r="H2">
        <f>F2-G2</f>
        <v>0</v>
      </c>
    </row>
    <row r="3" spans="1:8" x14ac:dyDescent="0.25">
      <c r="A3">
        <v>26</v>
      </c>
      <c r="B3">
        <v>0</v>
      </c>
      <c r="D3">
        <v>2</v>
      </c>
      <c r="E3" t="s">
        <v>105</v>
      </c>
      <c r="F3">
        <f>SUMIFS(Planilha1!C2:C130,Planilha1!B2:B130,1,Planilha1!D2:D130,Planilha4!E3) + SUMIFS(Planilha1!E2:E130,Planilha1!B2:B130,1,Planilha1!F2:F130,Planilha4!E3)</f>
        <v>0</v>
      </c>
      <c r="G3">
        <v>0</v>
      </c>
      <c r="H3">
        <f t="shared" ref="H3:H38" si="0">F3-G3</f>
        <v>0</v>
      </c>
    </row>
    <row r="4" spans="1:8" x14ac:dyDescent="0.25">
      <c r="A4">
        <v>39</v>
      </c>
      <c r="B4">
        <v>0</v>
      </c>
      <c r="D4">
        <v>3</v>
      </c>
      <c r="E4" t="s">
        <v>95</v>
      </c>
      <c r="F4">
        <f>SUMIFS(Planilha1!C2:C130,Planilha1!B2:B130,1,Planilha1!D2:D130,Planilha4!E4) + SUMIFS(Planilha1!E2:E130,Planilha1!B2:B130,1,Planilha1!F2:F130,Planilha4!E4)</f>
        <v>0</v>
      </c>
      <c r="G4">
        <v>0</v>
      </c>
      <c r="H4">
        <f t="shared" si="0"/>
        <v>0</v>
      </c>
    </row>
    <row r="5" spans="1:8" x14ac:dyDescent="0.25">
      <c r="A5">
        <v>51</v>
      </c>
      <c r="B5">
        <v>0</v>
      </c>
      <c r="D5">
        <v>4</v>
      </c>
      <c r="E5" t="s">
        <v>87</v>
      </c>
      <c r="F5">
        <f>SUMIFS(Planilha1!C2:C130,Planilha1!B2:B130,1,Planilha1!D2:D130,Planilha4!E5) + SUMIFS(Planilha1!E2:E130,Planilha1!B2:B130,1,Planilha1!F2:F130,Planilha4!E5)</f>
        <v>0</v>
      </c>
      <c r="G5">
        <v>0</v>
      </c>
      <c r="H5">
        <f t="shared" si="0"/>
        <v>0</v>
      </c>
    </row>
    <row r="6" spans="1:8" x14ac:dyDescent="0.25">
      <c r="A6">
        <v>52</v>
      </c>
      <c r="B6">
        <v>0</v>
      </c>
      <c r="D6">
        <v>5</v>
      </c>
      <c r="E6" t="s">
        <v>89</v>
      </c>
      <c r="F6">
        <f>SUMIFS(Planilha1!C2:C130,Planilha1!B2:B130,1,Planilha1!D2:D130,Planilha4!E6) + SUMIFS(Planilha1!E2:E130,Planilha1!B2:B130,1,Planilha1!F2:F130,Planilha4!E6)</f>
        <v>0</v>
      </c>
      <c r="G6">
        <v>0</v>
      </c>
      <c r="H6">
        <f t="shared" si="0"/>
        <v>0</v>
      </c>
    </row>
    <row r="7" spans="1:8" x14ac:dyDescent="0.25">
      <c r="A7">
        <v>65</v>
      </c>
      <c r="B7">
        <v>0</v>
      </c>
      <c r="D7">
        <v>6</v>
      </c>
      <c r="E7" t="s">
        <v>107</v>
      </c>
      <c r="F7">
        <f>SUMIFS(Planilha1!C2:C130,Planilha1!B2:B130,1,Planilha1!D2:D130,Planilha4!E7) + SUMIFS(Planilha1!E2:E130,Planilha1!B2:B130,1,Planilha1!F2:F130,Planilha4!E7)</f>
        <v>0</v>
      </c>
      <c r="G7">
        <v>0</v>
      </c>
      <c r="H7">
        <f t="shared" si="0"/>
        <v>0</v>
      </c>
    </row>
    <row r="8" spans="1:8" x14ac:dyDescent="0.25">
      <c r="A8">
        <v>79</v>
      </c>
      <c r="B8">
        <v>0</v>
      </c>
      <c r="D8">
        <v>7</v>
      </c>
      <c r="E8" t="s">
        <v>100</v>
      </c>
      <c r="F8">
        <f>SUMIFS(Planilha1!C2:C130,Planilha1!B2:B130,1,Planilha1!D2:D130,Planilha4!E8) + SUMIFS(Planilha1!E2:E130,Planilha1!B2:B130,1,Planilha1!F2:F130,Planilha4!E8)</f>
        <v>0</v>
      </c>
      <c r="G8">
        <v>0</v>
      </c>
      <c r="H8">
        <f t="shared" si="0"/>
        <v>0</v>
      </c>
    </row>
    <row r="9" spans="1:8" x14ac:dyDescent="0.25">
      <c r="A9">
        <v>80</v>
      </c>
      <c r="B9">
        <v>0</v>
      </c>
      <c r="D9">
        <v>8</v>
      </c>
      <c r="E9" t="s">
        <v>75</v>
      </c>
      <c r="F9">
        <f>SUMIFS(Planilha1!C2:C130,Planilha1!B2:B130,1,Planilha1!D2:D130,Planilha4!E9) + SUMIFS(Planilha1!E2:E130,Planilha1!B2:B130,1,Planilha1!F2:F130,Planilha4!E9)</f>
        <v>0</v>
      </c>
      <c r="G9">
        <v>0</v>
      </c>
      <c r="H9">
        <f t="shared" si="0"/>
        <v>0</v>
      </c>
    </row>
    <row r="10" spans="1:8" x14ac:dyDescent="0.25">
      <c r="A10">
        <v>96</v>
      </c>
      <c r="B10">
        <v>0</v>
      </c>
      <c r="D10">
        <v>9</v>
      </c>
      <c r="E10" t="s">
        <v>90</v>
      </c>
      <c r="F10">
        <f>SUMIFS(Planilha1!C2:C130,Planilha1!B2:B130,1,Planilha1!D2:D130,Planilha4!E10) + SUMIFS(Planilha1!E2:E130,Planilha1!B2:B130,1,Planilha1!F2:F130,Planilha4!E10)</f>
        <v>0</v>
      </c>
      <c r="G10">
        <v>0</v>
      </c>
      <c r="H10">
        <f t="shared" si="0"/>
        <v>0</v>
      </c>
    </row>
    <row r="11" spans="1:8" x14ac:dyDescent="0.25">
      <c r="A11">
        <v>97</v>
      </c>
      <c r="B11">
        <v>0</v>
      </c>
      <c r="D11">
        <v>10</v>
      </c>
      <c r="E11" t="s">
        <v>104</v>
      </c>
      <c r="F11">
        <f>SUMIFS(Planilha1!C2:C130,Planilha1!B2:B130,1,Planilha1!D2:D130,Planilha4!E11) + SUMIFS(Planilha1!E2:E130,Planilha1!B2:B130,1,Planilha1!F2:F130,Planilha4!E11)</f>
        <v>0</v>
      </c>
      <c r="G11">
        <v>0</v>
      </c>
      <c r="H11">
        <f t="shared" si="0"/>
        <v>0</v>
      </c>
    </row>
    <row r="12" spans="1:8" x14ac:dyDescent="0.25">
      <c r="A12">
        <v>98</v>
      </c>
      <c r="B12">
        <v>0</v>
      </c>
      <c r="D12">
        <v>11</v>
      </c>
      <c r="E12" t="s">
        <v>101</v>
      </c>
      <c r="F12">
        <f>SUMIFS(Planilha1!C2:C130,Planilha1!B2:B130,1,Planilha1!D2:D130,Planilha4!E12) + SUMIFS(Planilha1!E2:E130,Planilha1!B2:B130,1,Planilha1!F2:F130,Planilha4!E12)</f>
        <v>0</v>
      </c>
      <c r="G12">
        <v>0</v>
      </c>
      <c r="H12">
        <f t="shared" si="0"/>
        <v>0</v>
      </c>
    </row>
    <row r="13" spans="1:8" x14ac:dyDescent="0.25">
      <c r="A13">
        <v>110</v>
      </c>
      <c r="B13">
        <v>0</v>
      </c>
      <c r="D13">
        <v>12</v>
      </c>
      <c r="E13" t="s">
        <v>94</v>
      </c>
      <c r="F13">
        <f>SUMIFS(Planilha1!C2:C130,Planilha1!B2:B130,1,Planilha1!D2:D130,Planilha4!E13) + SUMIFS(Planilha1!E2:E130,Planilha1!B2:B130,1,Planilha1!F2:F130,Planilha4!E13)</f>
        <v>0</v>
      </c>
      <c r="G13">
        <v>0</v>
      </c>
      <c r="H13">
        <f t="shared" si="0"/>
        <v>0</v>
      </c>
    </row>
    <row r="14" spans="1:8" x14ac:dyDescent="0.25">
      <c r="A14">
        <v>112</v>
      </c>
      <c r="B14">
        <v>0</v>
      </c>
      <c r="D14">
        <v>13</v>
      </c>
      <c r="E14" t="s">
        <v>109</v>
      </c>
      <c r="F14">
        <f>SUMIFS(Planilha1!C2:C130,Planilha1!B2:B130,1,Planilha1!D2:D130,Planilha4!E14) + SUMIFS(Planilha1!E2:E130,Planilha1!B2:B130,1,Planilha1!F2:F130,Planilha4!E14)</f>
        <v>0</v>
      </c>
      <c r="G14">
        <v>0</v>
      </c>
      <c r="H14">
        <f t="shared" si="0"/>
        <v>0</v>
      </c>
    </row>
    <row r="15" spans="1:8" x14ac:dyDescent="0.25">
      <c r="A15">
        <v>113</v>
      </c>
      <c r="B15">
        <v>0</v>
      </c>
      <c r="D15">
        <v>14</v>
      </c>
      <c r="E15" t="s">
        <v>86</v>
      </c>
      <c r="F15">
        <f>SUMIFS(Planilha1!C2:C130,Planilha1!B2:B130,1,Planilha1!D2:D130,Planilha4!E15) + SUMIFS(Planilha1!E2:E130,Planilha1!B2:B130,1,Planilha1!F2:F130,Planilha4!E15)</f>
        <v>0</v>
      </c>
      <c r="G15">
        <v>0</v>
      </c>
      <c r="H15">
        <f t="shared" si="0"/>
        <v>0</v>
      </c>
    </row>
    <row r="16" spans="1:8" x14ac:dyDescent="0.25">
      <c r="A16">
        <v>114</v>
      </c>
      <c r="B16">
        <v>0</v>
      </c>
      <c r="D16">
        <v>15</v>
      </c>
      <c r="E16" t="s">
        <v>102</v>
      </c>
      <c r="F16">
        <f>SUMIFS(Planilha1!C2:C130,Planilha1!B2:B130,1,Planilha1!D2:D130,Planilha4!E16) + SUMIFS(Planilha1!E2:E130,Planilha1!B2:B130,1,Planilha1!F2:F130,Planilha4!E16)</f>
        <v>0</v>
      </c>
      <c r="G16">
        <v>0</v>
      </c>
      <c r="H16">
        <f t="shared" si="0"/>
        <v>0</v>
      </c>
    </row>
    <row r="17" spans="1:8" x14ac:dyDescent="0.25">
      <c r="A17">
        <v>125</v>
      </c>
      <c r="B17">
        <v>0</v>
      </c>
      <c r="D17">
        <v>16</v>
      </c>
      <c r="E17" t="s">
        <v>103</v>
      </c>
      <c r="F17">
        <f>SUMIFS(Planilha1!C2:C130,Planilha1!B2:B130,1,Planilha1!D2:D130,Planilha4!E17) + SUMIFS(Planilha1!E2:E130,Planilha1!B2:B130,1,Planilha1!F2:F130,Planilha4!E17)</f>
        <v>0</v>
      </c>
      <c r="G17">
        <v>0</v>
      </c>
      <c r="H17">
        <f t="shared" si="0"/>
        <v>0</v>
      </c>
    </row>
    <row r="18" spans="1:8" x14ac:dyDescent="0.25">
      <c r="A18">
        <v>127</v>
      </c>
      <c r="B18">
        <v>0</v>
      </c>
      <c r="D18">
        <v>17</v>
      </c>
      <c r="E18" t="s">
        <v>96</v>
      </c>
      <c r="F18">
        <f>SUMIFS(Planilha1!C2:C130,Planilha1!B2:B130,1,Planilha1!D2:D130,Planilha4!E18) + SUMIFS(Planilha1!E2:E130,Planilha1!B2:B130,1,Planilha1!F2:F130,Planilha4!E18)</f>
        <v>0</v>
      </c>
      <c r="G18">
        <v>0</v>
      </c>
      <c r="H18">
        <f t="shared" si="0"/>
        <v>0</v>
      </c>
    </row>
    <row r="19" spans="1:8" x14ac:dyDescent="0.25">
      <c r="A19">
        <v>130</v>
      </c>
      <c r="B19">
        <v>0</v>
      </c>
      <c r="D19">
        <v>18</v>
      </c>
      <c r="E19" t="s">
        <v>99</v>
      </c>
      <c r="F19">
        <f>SUMIFS(Planilha1!C2:C130,Planilha1!B2:B130,1,Planilha1!D2:D130,Planilha4!E19) + SUMIFS(Planilha1!E2:E130,Planilha1!B2:B130,1,Planilha1!F2:F130,Planilha4!E19)</f>
        <v>0</v>
      </c>
      <c r="G19">
        <v>0</v>
      </c>
      <c r="H19">
        <f t="shared" si="0"/>
        <v>0</v>
      </c>
    </row>
    <row r="20" spans="1:8" x14ac:dyDescent="0.25">
      <c r="A20">
        <v>131</v>
      </c>
      <c r="B20">
        <v>0</v>
      </c>
      <c r="D20">
        <v>19</v>
      </c>
      <c r="E20" t="s">
        <v>93</v>
      </c>
      <c r="F20">
        <f>SUMIFS(Planilha1!C2:C130,Planilha1!B2:B130,1,Planilha1!D2:D130,Planilha4!E20) + SUMIFS(Planilha1!E2:E130,Planilha1!B2:B130,1,Planilha1!F2:F130,Planilha4!E20)</f>
        <v>0</v>
      </c>
      <c r="G20">
        <v>0</v>
      </c>
      <c r="H20">
        <f t="shared" si="0"/>
        <v>0</v>
      </c>
    </row>
    <row r="21" spans="1:8" x14ac:dyDescent="0.25">
      <c r="A21">
        <v>141</v>
      </c>
      <c r="B21">
        <v>0</v>
      </c>
      <c r="D21">
        <v>20</v>
      </c>
      <c r="E21" t="s">
        <v>97</v>
      </c>
      <c r="F21">
        <f>SUMIFS(Planilha1!C2:C130,Planilha1!B2:B130,1,Planilha1!D2:D130,Planilha4!E21) + SUMIFS(Planilha1!E2:E130,Planilha1!B2:B130,1,Planilha1!F2:F130,Planilha4!E21)</f>
        <v>0</v>
      </c>
      <c r="G21">
        <v>0</v>
      </c>
      <c r="H21">
        <f t="shared" si="0"/>
        <v>0</v>
      </c>
    </row>
    <row r="22" spans="1:8" x14ac:dyDescent="0.25">
      <c r="A22">
        <v>143</v>
      </c>
      <c r="B22">
        <v>0</v>
      </c>
      <c r="D22">
        <v>21</v>
      </c>
      <c r="E22" t="s">
        <v>91</v>
      </c>
      <c r="F22">
        <f>SUMIFS(Planilha1!C2:C130,Planilha1!B2:B130,1,Planilha1!D2:D130,Planilha4!E22) + SUMIFS(Planilha1!E2:E130,Planilha1!B2:B130,1,Planilha1!F2:F130,Planilha4!E22)</f>
        <v>0</v>
      </c>
      <c r="G22">
        <v>0</v>
      </c>
      <c r="H22">
        <f t="shared" si="0"/>
        <v>0</v>
      </c>
    </row>
    <row r="23" spans="1:8" x14ac:dyDescent="0.25">
      <c r="A23">
        <v>144</v>
      </c>
      <c r="B23">
        <v>0</v>
      </c>
      <c r="D23">
        <v>22</v>
      </c>
      <c r="E23" t="s">
        <v>98</v>
      </c>
      <c r="F23">
        <f>SUMIFS(Planilha1!C2:C130,Planilha1!B2:B130,1,Planilha1!D2:D130,Planilha4!E23) + SUMIFS(Planilha1!E2:E130,Planilha1!B2:B130,1,Planilha1!F2:F130,Planilha4!E23)</f>
        <v>0</v>
      </c>
      <c r="G23">
        <v>0</v>
      </c>
      <c r="H23">
        <f t="shared" si="0"/>
        <v>0</v>
      </c>
    </row>
    <row r="24" spans="1:8" x14ac:dyDescent="0.25">
      <c r="A24">
        <v>146</v>
      </c>
      <c r="B24">
        <v>0</v>
      </c>
      <c r="D24">
        <v>23</v>
      </c>
      <c r="E24" t="s">
        <v>74</v>
      </c>
      <c r="F24">
        <f>SUMIFS(Planilha1!C2:C130,Planilha1!B2:B130,1,Planilha1!D2:D130,Planilha4!E24) + SUMIFS(Planilha1!E2:E130,Planilha1!B2:B130,1,Planilha1!F2:F130,Planilha4!E24)</f>
        <v>0</v>
      </c>
      <c r="G24">
        <v>0</v>
      </c>
      <c r="H24">
        <f t="shared" si="0"/>
        <v>0</v>
      </c>
    </row>
    <row r="25" spans="1:8" x14ac:dyDescent="0.25">
      <c r="A25">
        <v>147</v>
      </c>
      <c r="B25">
        <v>0</v>
      </c>
      <c r="D25">
        <v>24</v>
      </c>
      <c r="E25" t="s">
        <v>85</v>
      </c>
      <c r="F25">
        <f>SUMIFS(Planilha1!C2:C130,Planilha1!B2:B130,1,Planilha1!D2:D130,Planilha4!E25) + SUMIFS(Planilha1!E2:E130,Planilha1!B2:B130,1,Planilha1!F2:F130,Planilha4!E25)</f>
        <v>0</v>
      </c>
      <c r="G25">
        <v>0</v>
      </c>
      <c r="H25">
        <f t="shared" si="0"/>
        <v>0</v>
      </c>
    </row>
    <row r="26" spans="1:8" x14ac:dyDescent="0.25">
      <c r="A26">
        <v>148</v>
      </c>
      <c r="B26">
        <v>0</v>
      </c>
      <c r="D26">
        <v>25</v>
      </c>
      <c r="E26" t="s">
        <v>88</v>
      </c>
      <c r="F26">
        <f>SUMIFS(Planilha1!C2:C130,Planilha1!B2:B130,1,Planilha1!D2:D130,Planilha4!E26) + SUMIFS(Planilha1!E2:E130,Planilha1!B2:B130,1,Planilha1!F2:F130,Planilha4!E26)</f>
        <v>0</v>
      </c>
      <c r="G26">
        <v>0</v>
      </c>
      <c r="H26">
        <f t="shared" si="0"/>
        <v>0</v>
      </c>
    </row>
    <row r="27" spans="1:8" x14ac:dyDescent="0.25">
      <c r="A27">
        <v>158</v>
      </c>
      <c r="B27">
        <v>0</v>
      </c>
      <c r="D27">
        <v>26</v>
      </c>
      <c r="E27" t="s">
        <v>92</v>
      </c>
      <c r="F27">
        <f>SUMIFS(Planilha1!C2:C130,Planilha1!B2:B130,1,Planilha1!D2:D130,Planilha4!E27) + SUMIFS(Planilha1!E2:E130,Planilha1!B2:B130,1,Planilha1!F2:F130,Planilha4!E27)</f>
        <v>0</v>
      </c>
      <c r="G27">
        <v>0</v>
      </c>
      <c r="H27">
        <f t="shared" si="0"/>
        <v>0</v>
      </c>
    </row>
    <row r="28" spans="1:8" x14ac:dyDescent="0.25">
      <c r="A28">
        <v>160</v>
      </c>
      <c r="B28">
        <v>0</v>
      </c>
      <c r="D28">
        <v>27</v>
      </c>
      <c r="E28" t="s">
        <v>82</v>
      </c>
      <c r="F28">
        <f>SUMIFS(Planilha1!C2:C130,Planilha1!B2:B130,1,Planilha1!D2:D130,Planilha4!E28) + SUMIFS(Planilha1!E2:E130,Planilha1!B2:B130,1,Planilha1!F2:F130,Planilha4!E28)</f>
        <v>0</v>
      </c>
      <c r="G28">
        <v>0</v>
      </c>
      <c r="H28">
        <f t="shared" si="0"/>
        <v>0</v>
      </c>
    </row>
    <row r="29" spans="1:8" x14ac:dyDescent="0.25">
      <c r="A29">
        <v>162</v>
      </c>
      <c r="B29">
        <v>0</v>
      </c>
      <c r="D29">
        <v>28</v>
      </c>
      <c r="E29" t="s">
        <v>83</v>
      </c>
      <c r="F29">
        <f>SUMIFS(Planilha1!C2:C130,Planilha1!B2:B130,1,Planilha1!D2:D130,Planilha4!E29) + SUMIFS(Planilha1!E2:E130,Planilha1!B2:B130,1,Planilha1!F2:F130,Planilha4!E29)</f>
        <v>0</v>
      </c>
      <c r="G29">
        <v>0</v>
      </c>
      <c r="H29">
        <f t="shared" si="0"/>
        <v>0</v>
      </c>
    </row>
    <row r="30" spans="1:8" x14ac:dyDescent="0.25">
      <c r="A30">
        <v>163</v>
      </c>
      <c r="B30">
        <v>0</v>
      </c>
      <c r="D30">
        <v>29</v>
      </c>
      <c r="E30" t="s">
        <v>108</v>
      </c>
      <c r="F30">
        <f>SUMIFS(Planilha1!C2:C130,Planilha1!B2:B130,1,Planilha1!D2:D130,Planilha4!E30) + SUMIFS(Planilha1!E2:E130,Planilha1!B2:B130,1,Planilha1!F2:F130,Planilha4!E30)</f>
        <v>0</v>
      </c>
      <c r="G30">
        <v>0</v>
      </c>
      <c r="H30">
        <f t="shared" si="0"/>
        <v>0</v>
      </c>
    </row>
    <row r="31" spans="1:8" x14ac:dyDescent="0.25">
      <c r="A31">
        <v>164</v>
      </c>
      <c r="B31">
        <v>0</v>
      </c>
      <c r="D31">
        <v>30</v>
      </c>
      <c r="E31" t="s">
        <v>80</v>
      </c>
      <c r="F31">
        <f>SUMIFS(Planilha1!C2:C130,Planilha1!B2:B130,1,Planilha1!D2:D130,Planilha4!E31) + SUMIFS(Planilha1!E2:E130,Planilha1!B2:B130,1,Planilha1!F2:F130,Planilha4!E31)</f>
        <v>0</v>
      </c>
      <c r="G31">
        <v>0</v>
      </c>
      <c r="H31">
        <f t="shared" si="0"/>
        <v>0</v>
      </c>
    </row>
    <row r="32" spans="1:8" x14ac:dyDescent="0.25">
      <c r="A32">
        <v>166</v>
      </c>
      <c r="B32">
        <v>0</v>
      </c>
      <c r="D32">
        <v>31</v>
      </c>
      <c r="E32" t="s">
        <v>77</v>
      </c>
      <c r="F32">
        <f>SUMIFS(Planilha1!C2:C130,Planilha1!B2:B130,1,Planilha1!D2:D130,Planilha4!E32) + SUMIFS(Planilha1!E2:E130,Planilha1!B2:B130,1,Planilha1!F2:F130,Planilha4!E32)</f>
        <v>0</v>
      </c>
      <c r="G32">
        <v>0</v>
      </c>
      <c r="H32">
        <f t="shared" si="0"/>
        <v>0</v>
      </c>
    </row>
    <row r="33" spans="1:8" x14ac:dyDescent="0.25">
      <c r="A33">
        <v>167</v>
      </c>
      <c r="B33">
        <v>0</v>
      </c>
      <c r="D33">
        <v>32</v>
      </c>
      <c r="E33" t="s">
        <v>81</v>
      </c>
      <c r="F33">
        <f>SUMIFS(Planilha1!C2:C130,Planilha1!B2:B130,1,Planilha1!D2:D130,Planilha4!E33) + SUMIFS(Planilha1!E2:E130,Planilha1!B2:B130,1,Planilha1!F2:F130,Planilha4!E33)</f>
        <v>0</v>
      </c>
      <c r="G33">
        <v>0</v>
      </c>
      <c r="H33">
        <f t="shared" si="0"/>
        <v>0</v>
      </c>
    </row>
    <row r="34" spans="1:8" x14ac:dyDescent="0.25">
      <c r="A34">
        <v>168</v>
      </c>
      <c r="B34">
        <v>0</v>
      </c>
      <c r="D34">
        <v>33</v>
      </c>
      <c r="E34" t="s">
        <v>106</v>
      </c>
      <c r="F34">
        <f>SUMIFS(Planilha1!C2:C130,Planilha1!B2:B130,1,Planilha1!D2:D130,Planilha4!E34) + SUMIFS(Planilha1!E2:E130,Planilha1!B2:B130,1,Planilha1!F2:F130,Planilha4!E34)</f>
        <v>0</v>
      </c>
      <c r="G34">
        <v>0</v>
      </c>
      <c r="H34">
        <f t="shared" si="0"/>
        <v>0</v>
      </c>
    </row>
    <row r="35" spans="1:8" x14ac:dyDescent="0.25">
      <c r="A35">
        <v>177</v>
      </c>
      <c r="B35">
        <v>0</v>
      </c>
      <c r="D35">
        <v>34</v>
      </c>
      <c r="E35" t="s">
        <v>76</v>
      </c>
      <c r="F35">
        <f>SUMIFS(Planilha1!C2:C130,Planilha1!B2:B130,1,Planilha1!D2:D130,Planilha4!E35) + SUMIFS(Planilha1!E2:E130,Planilha1!B2:B130,1,Planilha1!F2:F130,Planilha4!E35)</f>
        <v>0</v>
      </c>
      <c r="G35">
        <v>0</v>
      </c>
      <c r="H35">
        <f t="shared" si="0"/>
        <v>0</v>
      </c>
    </row>
    <row r="36" spans="1:8" x14ac:dyDescent="0.25">
      <c r="A36">
        <v>181</v>
      </c>
      <c r="B36">
        <v>0</v>
      </c>
      <c r="D36">
        <v>35</v>
      </c>
      <c r="E36" t="s">
        <v>78</v>
      </c>
      <c r="F36">
        <f>SUMIFS(Planilha1!C2:C130,Planilha1!B2:B130,1,Planilha1!D2:D130,Planilha4!E36) + SUMIFS(Planilha1!E2:E130,Planilha1!B2:B130,1,Planilha1!F2:F130,Planilha4!E36)</f>
        <v>0</v>
      </c>
      <c r="G36">
        <v>0</v>
      </c>
      <c r="H36">
        <f t="shared" si="0"/>
        <v>0</v>
      </c>
    </row>
    <row r="37" spans="1:8" x14ac:dyDescent="0.25">
      <c r="A37">
        <v>182</v>
      </c>
      <c r="B37">
        <v>0</v>
      </c>
      <c r="D37">
        <v>36</v>
      </c>
      <c r="E37" t="s">
        <v>79</v>
      </c>
      <c r="F37">
        <f>SUMIFS(Planilha1!C2:C130,Planilha1!B2:B130,1,Planilha1!D2:D130,Planilha4!E37) + SUMIFS(Planilha1!E2:E130,Planilha1!B2:B130,1,Planilha1!F2:F130,Planilha4!E37)</f>
        <v>0</v>
      </c>
      <c r="G37">
        <v>0</v>
      </c>
      <c r="H37">
        <f t="shared" si="0"/>
        <v>0</v>
      </c>
    </row>
    <row r="38" spans="1:8" x14ac:dyDescent="0.25">
      <c r="A38">
        <v>183</v>
      </c>
      <c r="B38">
        <v>0</v>
      </c>
      <c r="D38">
        <v>37</v>
      </c>
      <c r="E38" t="s">
        <v>110</v>
      </c>
      <c r="F38">
        <f>SUMIFS(Planilha1!C2:C130,Planilha1!B2:B130,1,Planilha1!D2:D130,Planilha4!E38) + SUMIFS(Planilha1!E2:E130,Planilha1!B2:B130,1,Planilha1!F2:F130,Planilha4!E38)</f>
        <v>0</v>
      </c>
      <c r="G38">
        <v>0</v>
      </c>
      <c r="H38">
        <f t="shared" si="0"/>
        <v>0</v>
      </c>
    </row>
    <row r="39" spans="1:8" x14ac:dyDescent="0.25">
      <c r="A39">
        <v>184</v>
      </c>
      <c r="B39">
        <v>0</v>
      </c>
      <c r="G39">
        <v>0</v>
      </c>
    </row>
    <row r="40" spans="1:8" x14ac:dyDescent="0.25">
      <c r="A40">
        <v>193</v>
      </c>
      <c r="B40">
        <v>0</v>
      </c>
      <c r="G40">
        <v>0</v>
      </c>
    </row>
    <row r="41" spans="1:8" x14ac:dyDescent="0.25">
      <c r="A41">
        <v>194</v>
      </c>
      <c r="B41">
        <v>0</v>
      </c>
      <c r="G41">
        <v>0</v>
      </c>
    </row>
    <row r="42" spans="1:8" x14ac:dyDescent="0.25">
      <c r="A42">
        <v>195</v>
      </c>
      <c r="B42">
        <v>0</v>
      </c>
      <c r="G42">
        <v>0</v>
      </c>
    </row>
    <row r="43" spans="1:8" x14ac:dyDescent="0.25">
      <c r="A43">
        <v>199</v>
      </c>
      <c r="B43">
        <v>0</v>
      </c>
      <c r="G43">
        <v>0</v>
      </c>
    </row>
    <row r="44" spans="1:8" x14ac:dyDescent="0.25">
      <c r="A44">
        <v>208</v>
      </c>
      <c r="B44">
        <v>0</v>
      </c>
      <c r="G44">
        <v>0</v>
      </c>
    </row>
    <row r="45" spans="1:8" x14ac:dyDescent="0.25">
      <c r="A45">
        <v>209</v>
      </c>
      <c r="B45">
        <v>0</v>
      </c>
      <c r="G45">
        <v>0</v>
      </c>
    </row>
    <row r="46" spans="1:8" x14ac:dyDescent="0.25">
      <c r="A46">
        <v>211</v>
      </c>
      <c r="B46">
        <v>0</v>
      </c>
      <c r="G46">
        <v>0</v>
      </c>
    </row>
    <row r="47" spans="1:8" x14ac:dyDescent="0.25">
      <c r="A47">
        <v>212</v>
      </c>
      <c r="B47">
        <v>0</v>
      </c>
      <c r="G47">
        <v>0</v>
      </c>
    </row>
    <row r="48" spans="1:8" x14ac:dyDescent="0.25">
      <c r="A48">
        <v>213</v>
      </c>
      <c r="B48">
        <v>0</v>
      </c>
      <c r="G48">
        <v>0</v>
      </c>
    </row>
    <row r="49" spans="1:7" x14ac:dyDescent="0.25">
      <c r="A49">
        <v>219</v>
      </c>
      <c r="B49">
        <v>0</v>
      </c>
      <c r="G49">
        <v>0</v>
      </c>
    </row>
    <row r="50" spans="1:7" x14ac:dyDescent="0.25">
      <c r="A50">
        <v>220</v>
      </c>
      <c r="B50">
        <v>0</v>
      </c>
      <c r="G50">
        <v>0</v>
      </c>
    </row>
    <row r="51" spans="1:7" x14ac:dyDescent="0.25">
      <c r="A51">
        <v>221</v>
      </c>
      <c r="B51">
        <v>0</v>
      </c>
      <c r="G51">
        <v>0</v>
      </c>
    </row>
    <row r="52" spans="1:7" x14ac:dyDescent="0.25">
      <c r="A52">
        <v>222</v>
      </c>
      <c r="B52">
        <v>0</v>
      </c>
      <c r="G52">
        <v>0</v>
      </c>
    </row>
    <row r="53" spans="1:7" x14ac:dyDescent="0.25">
      <c r="A53">
        <v>228</v>
      </c>
      <c r="B53">
        <v>0</v>
      </c>
      <c r="G53">
        <v>0</v>
      </c>
    </row>
    <row r="54" spans="1:7" x14ac:dyDescent="0.25">
      <c r="A54">
        <v>229</v>
      </c>
      <c r="B54">
        <v>0</v>
      </c>
      <c r="G54">
        <v>0</v>
      </c>
    </row>
    <row r="55" spans="1:7" x14ac:dyDescent="0.25">
      <c r="A55">
        <v>232</v>
      </c>
      <c r="B55">
        <v>0</v>
      </c>
      <c r="G55">
        <v>0</v>
      </c>
    </row>
    <row r="56" spans="1:7" x14ac:dyDescent="0.25">
      <c r="A56">
        <v>233</v>
      </c>
      <c r="B56">
        <v>0</v>
      </c>
      <c r="G56">
        <v>0</v>
      </c>
    </row>
    <row r="57" spans="1:7" x14ac:dyDescent="0.25">
      <c r="A57">
        <v>234</v>
      </c>
      <c r="B57">
        <v>0</v>
      </c>
      <c r="G57">
        <v>0</v>
      </c>
    </row>
    <row r="58" spans="1:7" x14ac:dyDescent="0.25">
      <c r="A58">
        <v>236</v>
      </c>
      <c r="B58">
        <v>0</v>
      </c>
      <c r="G58">
        <v>0</v>
      </c>
    </row>
    <row r="59" spans="1:7" x14ac:dyDescent="0.25">
      <c r="A59">
        <v>237</v>
      </c>
      <c r="B59">
        <v>0</v>
      </c>
      <c r="G59">
        <v>0</v>
      </c>
    </row>
    <row r="60" spans="1:7" x14ac:dyDescent="0.25">
      <c r="A60">
        <v>239</v>
      </c>
      <c r="B60">
        <v>0</v>
      </c>
      <c r="G60">
        <v>0</v>
      </c>
    </row>
    <row r="61" spans="1:7" x14ac:dyDescent="0.25">
      <c r="A61">
        <v>240</v>
      </c>
      <c r="B61">
        <v>0</v>
      </c>
      <c r="G61">
        <v>0</v>
      </c>
    </row>
    <row r="62" spans="1:7" x14ac:dyDescent="0.25">
      <c r="A62">
        <v>242</v>
      </c>
      <c r="B62">
        <v>0</v>
      </c>
      <c r="G62">
        <v>0</v>
      </c>
    </row>
    <row r="63" spans="1:7" x14ac:dyDescent="0.25">
      <c r="A63">
        <v>243</v>
      </c>
      <c r="B63">
        <v>0</v>
      </c>
      <c r="G63">
        <v>0</v>
      </c>
    </row>
    <row r="64" spans="1:7" x14ac:dyDescent="0.25">
      <c r="A64">
        <v>244</v>
      </c>
      <c r="B64">
        <v>0</v>
      </c>
      <c r="G64">
        <v>0</v>
      </c>
    </row>
    <row r="65" spans="1:7" x14ac:dyDescent="0.25">
      <c r="A65">
        <v>248</v>
      </c>
      <c r="B65">
        <v>0</v>
      </c>
      <c r="G65">
        <v>0</v>
      </c>
    </row>
    <row r="66" spans="1:7" x14ac:dyDescent="0.25">
      <c r="A66">
        <v>250</v>
      </c>
      <c r="B66">
        <v>0</v>
      </c>
      <c r="G66">
        <v>0</v>
      </c>
    </row>
    <row r="67" spans="1:7" x14ac:dyDescent="0.25">
      <c r="A67">
        <v>251</v>
      </c>
      <c r="B67">
        <v>0</v>
      </c>
      <c r="G67">
        <v>0</v>
      </c>
    </row>
    <row r="68" spans="1:7" x14ac:dyDescent="0.25">
      <c r="A68">
        <v>254</v>
      </c>
      <c r="B68">
        <v>0</v>
      </c>
      <c r="G68">
        <v>0</v>
      </c>
    </row>
    <row r="69" spans="1:7" x14ac:dyDescent="0.25">
      <c r="A69">
        <v>255</v>
      </c>
      <c r="B69">
        <v>0</v>
      </c>
      <c r="G69">
        <v>0</v>
      </c>
    </row>
    <row r="70" spans="1:7" x14ac:dyDescent="0.25">
      <c r="A70">
        <v>257</v>
      </c>
      <c r="B70">
        <v>0</v>
      </c>
      <c r="G70">
        <v>0</v>
      </c>
    </row>
    <row r="71" spans="1:7" x14ac:dyDescent="0.25">
      <c r="A71">
        <v>258</v>
      </c>
      <c r="B71">
        <v>0</v>
      </c>
      <c r="G71">
        <v>0</v>
      </c>
    </row>
    <row r="72" spans="1:7" x14ac:dyDescent="0.25">
      <c r="A72">
        <v>260</v>
      </c>
      <c r="B72">
        <v>0</v>
      </c>
      <c r="G72">
        <v>0</v>
      </c>
    </row>
    <row r="73" spans="1:7" x14ac:dyDescent="0.25">
      <c r="A73">
        <v>262</v>
      </c>
      <c r="B73">
        <v>0</v>
      </c>
      <c r="G73">
        <v>0</v>
      </c>
    </row>
    <row r="74" spans="1:7" x14ac:dyDescent="0.25">
      <c r="A74">
        <v>263</v>
      </c>
      <c r="B74">
        <v>0</v>
      </c>
      <c r="G74">
        <v>0</v>
      </c>
    </row>
    <row r="75" spans="1:7" x14ac:dyDescent="0.25">
      <c r="A75">
        <v>264</v>
      </c>
      <c r="B75">
        <v>0</v>
      </c>
      <c r="G75">
        <v>0</v>
      </c>
    </row>
    <row r="76" spans="1:7" x14ac:dyDescent="0.25">
      <c r="A76">
        <v>265</v>
      </c>
      <c r="B76">
        <v>0</v>
      </c>
      <c r="G76">
        <v>0</v>
      </c>
    </row>
    <row r="77" spans="1:7" x14ac:dyDescent="0.25">
      <c r="A77">
        <v>266</v>
      </c>
      <c r="B77">
        <v>0</v>
      </c>
      <c r="G77">
        <v>0</v>
      </c>
    </row>
    <row r="78" spans="1:7" x14ac:dyDescent="0.25">
      <c r="A78">
        <v>267</v>
      </c>
      <c r="B78">
        <v>0</v>
      </c>
      <c r="G78">
        <v>0</v>
      </c>
    </row>
    <row r="79" spans="1:7" x14ac:dyDescent="0.25">
      <c r="A79">
        <v>269</v>
      </c>
      <c r="B79">
        <v>0</v>
      </c>
      <c r="G79">
        <v>0</v>
      </c>
    </row>
    <row r="80" spans="1:7" x14ac:dyDescent="0.25">
      <c r="A80">
        <v>270</v>
      </c>
      <c r="B80">
        <v>0</v>
      </c>
      <c r="G80">
        <v>0</v>
      </c>
    </row>
    <row r="81" spans="1:7" x14ac:dyDescent="0.25">
      <c r="A81">
        <v>271</v>
      </c>
      <c r="B81">
        <v>0</v>
      </c>
      <c r="G81">
        <v>0</v>
      </c>
    </row>
    <row r="82" spans="1:7" x14ac:dyDescent="0.25">
      <c r="A82">
        <v>275</v>
      </c>
      <c r="B82">
        <v>0</v>
      </c>
      <c r="G82">
        <v>0</v>
      </c>
    </row>
    <row r="83" spans="1:7" x14ac:dyDescent="0.25">
      <c r="A83">
        <v>276</v>
      </c>
      <c r="B83">
        <v>0</v>
      </c>
      <c r="G83">
        <v>0</v>
      </c>
    </row>
    <row r="84" spans="1:7" x14ac:dyDescent="0.25">
      <c r="A84">
        <v>278</v>
      </c>
      <c r="B84">
        <v>0</v>
      </c>
      <c r="G84">
        <v>0</v>
      </c>
    </row>
    <row r="85" spans="1:7" x14ac:dyDescent="0.25">
      <c r="A85">
        <v>279</v>
      </c>
      <c r="B85">
        <v>0</v>
      </c>
      <c r="G85">
        <v>0</v>
      </c>
    </row>
    <row r="86" spans="1:7" x14ac:dyDescent="0.25">
      <c r="A86">
        <v>281</v>
      </c>
      <c r="B86">
        <v>0</v>
      </c>
      <c r="G86">
        <v>0</v>
      </c>
    </row>
    <row r="87" spans="1:7" x14ac:dyDescent="0.25">
      <c r="A87">
        <v>282</v>
      </c>
      <c r="B87">
        <v>0</v>
      </c>
      <c r="G87">
        <v>0</v>
      </c>
    </row>
    <row r="88" spans="1:7" x14ac:dyDescent="0.25">
      <c r="A88">
        <v>285</v>
      </c>
      <c r="B88">
        <v>0</v>
      </c>
      <c r="G88">
        <v>0</v>
      </c>
    </row>
    <row r="89" spans="1:7" x14ac:dyDescent="0.25">
      <c r="A89">
        <v>286</v>
      </c>
      <c r="B89">
        <v>0</v>
      </c>
      <c r="G89">
        <v>0</v>
      </c>
    </row>
    <row r="90" spans="1:7" x14ac:dyDescent="0.25">
      <c r="A90">
        <v>290</v>
      </c>
      <c r="B90">
        <v>0</v>
      </c>
      <c r="G90">
        <v>0</v>
      </c>
    </row>
    <row r="91" spans="1:7" x14ac:dyDescent="0.25">
      <c r="A91">
        <v>291</v>
      </c>
      <c r="B91">
        <v>0</v>
      </c>
      <c r="G91">
        <v>0</v>
      </c>
    </row>
    <row r="92" spans="1:7" x14ac:dyDescent="0.25">
      <c r="A92">
        <v>292</v>
      </c>
      <c r="B92">
        <v>0</v>
      </c>
      <c r="G92">
        <v>0</v>
      </c>
    </row>
    <row r="93" spans="1:7" x14ac:dyDescent="0.25">
      <c r="A93">
        <v>293</v>
      </c>
      <c r="B93">
        <v>0</v>
      </c>
      <c r="G93">
        <v>0</v>
      </c>
    </row>
    <row r="94" spans="1:7" x14ac:dyDescent="0.25">
      <c r="A94">
        <v>294</v>
      </c>
      <c r="B94">
        <v>0</v>
      </c>
      <c r="G94">
        <v>0</v>
      </c>
    </row>
    <row r="95" spans="1:7" x14ac:dyDescent="0.25">
      <c r="A95">
        <v>295</v>
      </c>
      <c r="B95">
        <v>0</v>
      </c>
      <c r="G95">
        <v>0</v>
      </c>
    </row>
    <row r="96" spans="1:7" x14ac:dyDescent="0.25">
      <c r="A96">
        <v>297</v>
      </c>
      <c r="B96">
        <v>0</v>
      </c>
      <c r="G96">
        <v>0</v>
      </c>
    </row>
    <row r="97" spans="1:7" x14ac:dyDescent="0.25">
      <c r="A97">
        <v>298</v>
      </c>
      <c r="B97">
        <v>0</v>
      </c>
      <c r="G97">
        <v>0</v>
      </c>
    </row>
    <row r="98" spans="1:7" x14ac:dyDescent="0.25">
      <c r="A98">
        <v>299</v>
      </c>
      <c r="B98">
        <v>0</v>
      </c>
      <c r="G98">
        <v>0</v>
      </c>
    </row>
    <row r="99" spans="1:7" x14ac:dyDescent="0.25">
      <c r="A99">
        <v>300</v>
      </c>
      <c r="B99">
        <v>0</v>
      </c>
      <c r="G99">
        <v>0</v>
      </c>
    </row>
    <row r="100" spans="1:7" x14ac:dyDescent="0.25">
      <c r="A100">
        <v>302</v>
      </c>
      <c r="B100">
        <v>0</v>
      </c>
      <c r="G100">
        <v>0</v>
      </c>
    </row>
    <row r="101" spans="1:7" x14ac:dyDescent="0.25">
      <c r="A101">
        <v>304</v>
      </c>
      <c r="B101">
        <v>0</v>
      </c>
      <c r="G101">
        <v>0</v>
      </c>
    </row>
    <row r="102" spans="1:7" x14ac:dyDescent="0.25">
      <c r="A102">
        <v>305</v>
      </c>
      <c r="B102">
        <v>0</v>
      </c>
      <c r="G102">
        <v>0</v>
      </c>
    </row>
    <row r="103" spans="1:7" x14ac:dyDescent="0.25">
      <c r="A103">
        <v>306</v>
      </c>
      <c r="B103">
        <v>0</v>
      </c>
      <c r="G103">
        <v>0</v>
      </c>
    </row>
    <row r="104" spans="1:7" x14ac:dyDescent="0.25">
      <c r="A104">
        <v>308</v>
      </c>
      <c r="B104">
        <v>0</v>
      </c>
      <c r="G104">
        <v>0</v>
      </c>
    </row>
    <row r="105" spans="1:7" x14ac:dyDescent="0.25">
      <c r="A105">
        <v>309</v>
      </c>
      <c r="B105">
        <v>0</v>
      </c>
      <c r="G105">
        <v>0</v>
      </c>
    </row>
    <row r="106" spans="1:7" x14ac:dyDescent="0.25">
      <c r="A106">
        <v>316</v>
      </c>
      <c r="B106">
        <v>0</v>
      </c>
      <c r="G106">
        <v>0</v>
      </c>
    </row>
    <row r="107" spans="1:7" x14ac:dyDescent="0.25">
      <c r="A107">
        <v>318</v>
      </c>
      <c r="B107">
        <v>0</v>
      </c>
      <c r="G107">
        <v>0</v>
      </c>
    </row>
    <row r="108" spans="1:7" x14ac:dyDescent="0.25">
      <c r="A108">
        <v>319</v>
      </c>
      <c r="B108">
        <v>0</v>
      </c>
      <c r="G108">
        <v>0</v>
      </c>
    </row>
    <row r="109" spans="1:7" x14ac:dyDescent="0.25">
      <c r="A109">
        <v>321</v>
      </c>
      <c r="B109">
        <v>0</v>
      </c>
      <c r="G109">
        <v>0</v>
      </c>
    </row>
    <row r="110" spans="1:7" x14ac:dyDescent="0.25">
      <c r="A110">
        <v>325</v>
      </c>
      <c r="B110">
        <v>0</v>
      </c>
      <c r="G110">
        <v>0</v>
      </c>
    </row>
    <row r="111" spans="1:7" x14ac:dyDescent="0.25">
      <c r="A111">
        <v>326</v>
      </c>
      <c r="B111">
        <v>0</v>
      </c>
      <c r="G111">
        <v>0</v>
      </c>
    </row>
    <row r="112" spans="1:7" x14ac:dyDescent="0.25">
      <c r="A112">
        <v>327</v>
      </c>
      <c r="B112">
        <v>0</v>
      </c>
      <c r="G112">
        <v>0</v>
      </c>
    </row>
    <row r="113" spans="1:7" x14ac:dyDescent="0.25">
      <c r="A113">
        <v>328</v>
      </c>
      <c r="B113">
        <v>0</v>
      </c>
      <c r="G113">
        <v>0</v>
      </c>
    </row>
    <row r="114" spans="1:7" x14ac:dyDescent="0.25">
      <c r="A114">
        <v>329</v>
      </c>
      <c r="B114">
        <v>0</v>
      </c>
      <c r="G114">
        <v>0</v>
      </c>
    </row>
    <row r="115" spans="1:7" x14ac:dyDescent="0.25">
      <c r="A115">
        <v>332</v>
      </c>
      <c r="B115">
        <v>0</v>
      </c>
      <c r="G115">
        <v>0</v>
      </c>
    </row>
    <row r="116" spans="1:7" x14ac:dyDescent="0.25">
      <c r="A116">
        <v>333</v>
      </c>
      <c r="B116">
        <v>0</v>
      </c>
      <c r="G116">
        <v>0</v>
      </c>
    </row>
    <row r="117" spans="1:7" x14ac:dyDescent="0.25">
      <c r="A117">
        <v>335</v>
      </c>
      <c r="B117">
        <v>0</v>
      </c>
      <c r="G117">
        <v>0</v>
      </c>
    </row>
    <row r="118" spans="1:7" x14ac:dyDescent="0.25">
      <c r="A118">
        <v>340</v>
      </c>
      <c r="B118">
        <v>0</v>
      </c>
      <c r="G118">
        <v>0</v>
      </c>
    </row>
    <row r="119" spans="1:7" x14ac:dyDescent="0.25">
      <c r="A119">
        <v>341</v>
      </c>
      <c r="B119">
        <v>0</v>
      </c>
      <c r="G119">
        <v>0</v>
      </c>
    </row>
    <row r="120" spans="1:7" x14ac:dyDescent="0.25">
      <c r="A120">
        <v>342</v>
      </c>
      <c r="B120">
        <v>0</v>
      </c>
      <c r="G120">
        <v>0</v>
      </c>
    </row>
    <row r="121" spans="1:7" x14ac:dyDescent="0.25">
      <c r="A121">
        <v>343</v>
      </c>
      <c r="B121">
        <v>0</v>
      </c>
      <c r="G121">
        <v>0</v>
      </c>
    </row>
    <row r="122" spans="1:7" x14ac:dyDescent="0.25">
      <c r="A122">
        <v>345</v>
      </c>
      <c r="B122">
        <v>0</v>
      </c>
      <c r="G122">
        <v>0</v>
      </c>
    </row>
    <row r="123" spans="1:7" x14ac:dyDescent="0.25">
      <c r="A123">
        <v>346</v>
      </c>
      <c r="B123">
        <v>0</v>
      </c>
      <c r="G123">
        <v>0</v>
      </c>
    </row>
    <row r="124" spans="1:7" x14ac:dyDescent="0.25">
      <c r="A124">
        <v>347</v>
      </c>
      <c r="B124">
        <v>0</v>
      </c>
      <c r="G124">
        <v>0</v>
      </c>
    </row>
    <row r="125" spans="1:7" x14ac:dyDescent="0.25">
      <c r="A125">
        <v>348</v>
      </c>
      <c r="B125">
        <v>0</v>
      </c>
      <c r="G125">
        <v>0</v>
      </c>
    </row>
    <row r="126" spans="1:7" x14ac:dyDescent="0.25">
      <c r="A126">
        <v>354</v>
      </c>
      <c r="B126">
        <v>0</v>
      </c>
      <c r="G126">
        <v>0</v>
      </c>
    </row>
    <row r="127" spans="1:7" x14ac:dyDescent="0.25">
      <c r="A127">
        <v>360</v>
      </c>
      <c r="B127">
        <v>0</v>
      </c>
      <c r="G127">
        <v>0</v>
      </c>
    </row>
    <row r="128" spans="1:7" x14ac:dyDescent="0.25">
      <c r="A128">
        <v>362</v>
      </c>
      <c r="B128">
        <v>0</v>
      </c>
      <c r="G128">
        <v>0</v>
      </c>
    </row>
    <row r="129" spans="1:7" x14ac:dyDescent="0.25">
      <c r="A129">
        <v>363</v>
      </c>
      <c r="B129">
        <v>0</v>
      </c>
      <c r="G129">
        <v>0</v>
      </c>
    </row>
    <row r="130" spans="1:7" x14ac:dyDescent="0.25">
      <c r="G130">
        <v>0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70A64-D043-48D0-8765-B242600F2A74}">
  <sheetPr codeName="Planilha5"/>
  <dimension ref="A2:E38"/>
  <sheetViews>
    <sheetView topLeftCell="A34" zoomScale="265" zoomScaleNormal="265" workbookViewId="0">
      <selection activeCell="A38" sqref="A38"/>
    </sheetView>
  </sheetViews>
  <sheetFormatPr defaultRowHeight="15" x14ac:dyDescent="0.25"/>
  <cols>
    <col min="1" max="1" width="34.42578125" bestFit="1" customWidth="1"/>
    <col min="4" max="4" width="34.42578125" bestFit="1" customWidth="1"/>
  </cols>
  <sheetData>
    <row r="2" spans="1:5" x14ac:dyDescent="0.25">
      <c r="A2" t="s">
        <v>84</v>
      </c>
      <c r="B2">
        <f>LEN(A2)</f>
        <v>15</v>
      </c>
      <c r="D2" t="s">
        <v>53</v>
      </c>
      <c r="E2">
        <f>LEN(D2)</f>
        <v>4</v>
      </c>
    </row>
    <row r="3" spans="1:5" x14ac:dyDescent="0.25">
      <c r="A3" t="s">
        <v>105</v>
      </c>
      <c r="B3">
        <f>LEN(A3)</f>
        <v>15</v>
      </c>
      <c r="D3" t="s">
        <v>119</v>
      </c>
      <c r="E3">
        <f>LEN(D3)</f>
        <v>8</v>
      </c>
    </row>
    <row r="4" spans="1:5" x14ac:dyDescent="0.25">
      <c r="A4" t="s">
        <v>95</v>
      </c>
      <c r="B4">
        <f t="shared" ref="B4:B36" si="0">LEN(A4)</f>
        <v>4</v>
      </c>
      <c r="D4" t="s">
        <v>95</v>
      </c>
      <c r="E4">
        <f t="shared" ref="E4:E23" si="1">LEN(D4)</f>
        <v>4</v>
      </c>
    </row>
    <row r="5" spans="1:5" x14ac:dyDescent="0.25">
      <c r="A5" t="s">
        <v>87</v>
      </c>
      <c r="B5">
        <f t="shared" si="0"/>
        <v>8</v>
      </c>
      <c r="D5" t="s">
        <v>87</v>
      </c>
      <c r="E5">
        <f t="shared" si="1"/>
        <v>8</v>
      </c>
    </row>
    <row r="6" spans="1:5" x14ac:dyDescent="0.25">
      <c r="A6" t="s">
        <v>89</v>
      </c>
      <c r="B6">
        <f t="shared" si="0"/>
        <v>10</v>
      </c>
      <c r="D6" t="s">
        <v>57</v>
      </c>
      <c r="E6">
        <f t="shared" si="1"/>
        <v>7</v>
      </c>
    </row>
    <row r="7" spans="1:5" x14ac:dyDescent="0.25">
      <c r="A7" t="s">
        <v>107</v>
      </c>
      <c r="B7">
        <f t="shared" si="0"/>
        <v>12</v>
      </c>
      <c r="D7" t="s">
        <v>56</v>
      </c>
      <c r="E7">
        <f t="shared" si="1"/>
        <v>9</v>
      </c>
    </row>
    <row r="8" spans="1:5" x14ac:dyDescent="0.25">
      <c r="A8" t="s">
        <v>100</v>
      </c>
      <c r="B8">
        <f t="shared" si="0"/>
        <v>13</v>
      </c>
      <c r="D8" t="s">
        <v>55</v>
      </c>
      <c r="E8">
        <f t="shared" si="1"/>
        <v>10</v>
      </c>
    </row>
    <row r="9" spans="1:5" x14ac:dyDescent="0.25">
      <c r="A9" t="s">
        <v>75</v>
      </c>
      <c r="B9">
        <f t="shared" si="0"/>
        <v>25</v>
      </c>
      <c r="D9" t="s">
        <v>118</v>
      </c>
      <c r="E9">
        <f t="shared" si="1"/>
        <v>10</v>
      </c>
    </row>
    <row r="10" spans="1:5" x14ac:dyDescent="0.25">
      <c r="A10" t="s">
        <v>90</v>
      </c>
      <c r="B10">
        <f t="shared" si="0"/>
        <v>14</v>
      </c>
      <c r="D10" t="s">
        <v>54</v>
      </c>
      <c r="E10">
        <f t="shared" si="1"/>
        <v>9</v>
      </c>
    </row>
    <row r="11" spans="1:5" x14ac:dyDescent="0.25">
      <c r="A11" t="s">
        <v>104</v>
      </c>
      <c r="B11">
        <f t="shared" si="0"/>
        <v>23</v>
      </c>
      <c r="D11" t="s">
        <v>117</v>
      </c>
      <c r="E11">
        <f t="shared" si="1"/>
        <v>8</v>
      </c>
    </row>
    <row r="12" spans="1:5" x14ac:dyDescent="0.25">
      <c r="A12" t="s">
        <v>101</v>
      </c>
      <c r="B12">
        <f t="shared" si="0"/>
        <v>25</v>
      </c>
      <c r="D12" t="s">
        <v>58</v>
      </c>
      <c r="E12">
        <f t="shared" si="1"/>
        <v>10</v>
      </c>
    </row>
    <row r="13" spans="1:5" x14ac:dyDescent="0.25">
      <c r="A13" t="s">
        <v>94</v>
      </c>
      <c r="B13">
        <f t="shared" si="0"/>
        <v>23</v>
      </c>
      <c r="D13" t="s">
        <v>59</v>
      </c>
      <c r="E13">
        <f t="shared" si="1"/>
        <v>8</v>
      </c>
    </row>
    <row r="14" spans="1:5" x14ac:dyDescent="0.25">
      <c r="A14" t="s">
        <v>109</v>
      </c>
      <c r="B14">
        <f t="shared" si="0"/>
        <v>24</v>
      </c>
      <c r="D14" t="s">
        <v>60</v>
      </c>
      <c r="E14">
        <f t="shared" si="1"/>
        <v>9</v>
      </c>
    </row>
    <row r="15" spans="1:5" x14ac:dyDescent="0.25">
      <c r="A15" t="s">
        <v>86</v>
      </c>
      <c r="B15">
        <f t="shared" si="0"/>
        <v>10</v>
      </c>
      <c r="D15" t="s">
        <v>86</v>
      </c>
      <c r="E15">
        <f t="shared" si="1"/>
        <v>10</v>
      </c>
    </row>
    <row r="16" spans="1:5" x14ac:dyDescent="0.25">
      <c r="A16" t="s">
        <v>102</v>
      </c>
      <c r="B16">
        <f t="shared" si="0"/>
        <v>22</v>
      </c>
      <c r="D16" t="s">
        <v>61</v>
      </c>
      <c r="E16">
        <f t="shared" si="1"/>
        <v>9</v>
      </c>
    </row>
    <row r="17" spans="1:5" x14ac:dyDescent="0.25">
      <c r="A17" t="s">
        <v>103</v>
      </c>
      <c r="B17">
        <f t="shared" si="0"/>
        <v>36</v>
      </c>
      <c r="D17" t="s">
        <v>62</v>
      </c>
      <c r="E17">
        <f t="shared" si="1"/>
        <v>12</v>
      </c>
    </row>
    <row r="18" spans="1:5" x14ac:dyDescent="0.25">
      <c r="A18" t="s">
        <v>96</v>
      </c>
      <c r="B18">
        <f t="shared" si="0"/>
        <v>26</v>
      </c>
      <c r="D18" t="s">
        <v>63</v>
      </c>
      <c r="E18">
        <f t="shared" si="1"/>
        <v>12</v>
      </c>
    </row>
    <row r="19" spans="1:5" x14ac:dyDescent="0.25">
      <c r="A19" t="s">
        <v>99</v>
      </c>
      <c r="B19">
        <f t="shared" si="0"/>
        <v>30</v>
      </c>
      <c r="D19" t="s">
        <v>126</v>
      </c>
      <c r="E19">
        <f t="shared" si="1"/>
        <v>10</v>
      </c>
    </row>
    <row r="20" spans="1:5" x14ac:dyDescent="0.25">
      <c r="A20" t="s">
        <v>93</v>
      </c>
      <c r="B20">
        <f t="shared" si="0"/>
        <v>18</v>
      </c>
      <c r="D20" t="s">
        <v>116</v>
      </c>
      <c r="E20">
        <f t="shared" si="1"/>
        <v>7</v>
      </c>
    </row>
    <row r="21" spans="1:5" x14ac:dyDescent="0.25">
      <c r="A21" t="s">
        <v>97</v>
      </c>
      <c r="B21">
        <f t="shared" si="0"/>
        <v>26</v>
      </c>
      <c r="D21" t="s">
        <v>124</v>
      </c>
      <c r="E21">
        <f t="shared" si="1"/>
        <v>11</v>
      </c>
    </row>
    <row r="22" spans="1:5" x14ac:dyDescent="0.25">
      <c r="A22" t="s">
        <v>91</v>
      </c>
      <c r="B22">
        <f t="shared" si="0"/>
        <v>17</v>
      </c>
      <c r="D22" t="s">
        <v>115</v>
      </c>
      <c r="E22">
        <f t="shared" si="1"/>
        <v>9</v>
      </c>
    </row>
    <row r="23" spans="1:5" x14ac:dyDescent="0.25">
      <c r="A23" t="s">
        <v>98</v>
      </c>
      <c r="B23">
        <f t="shared" si="0"/>
        <v>25</v>
      </c>
      <c r="D23" t="s">
        <v>114</v>
      </c>
      <c r="E23">
        <f t="shared" si="1"/>
        <v>11</v>
      </c>
    </row>
    <row r="24" spans="1:5" x14ac:dyDescent="0.25">
      <c r="A24" t="s">
        <v>74</v>
      </c>
      <c r="B24">
        <f t="shared" si="0"/>
        <v>25</v>
      </c>
      <c r="D24" t="s">
        <v>125</v>
      </c>
      <c r="E24">
        <f t="shared" ref="E24:E38" si="2">LEN(D24)</f>
        <v>11</v>
      </c>
    </row>
    <row r="25" spans="1:5" x14ac:dyDescent="0.25">
      <c r="A25" t="s">
        <v>85</v>
      </c>
      <c r="B25">
        <f t="shared" si="0"/>
        <v>18</v>
      </c>
      <c r="D25" t="s">
        <v>65</v>
      </c>
      <c r="E25">
        <f t="shared" si="2"/>
        <v>9</v>
      </c>
    </row>
    <row r="26" spans="1:5" x14ac:dyDescent="0.25">
      <c r="A26" t="s">
        <v>88</v>
      </c>
      <c r="B26">
        <f t="shared" si="0"/>
        <v>23</v>
      </c>
      <c r="D26" t="s">
        <v>64</v>
      </c>
      <c r="E26">
        <f t="shared" si="2"/>
        <v>7</v>
      </c>
    </row>
    <row r="27" spans="1:5" x14ac:dyDescent="0.25">
      <c r="A27" t="s">
        <v>92</v>
      </c>
      <c r="B27">
        <f t="shared" si="0"/>
        <v>19</v>
      </c>
      <c r="D27" t="s">
        <v>66</v>
      </c>
      <c r="E27">
        <f t="shared" si="2"/>
        <v>9</v>
      </c>
    </row>
    <row r="28" spans="1:5" x14ac:dyDescent="0.25">
      <c r="A28" t="s">
        <v>82</v>
      </c>
      <c r="B28">
        <f t="shared" si="0"/>
        <v>12</v>
      </c>
      <c r="D28" t="s">
        <v>120</v>
      </c>
      <c r="E28">
        <f t="shared" si="2"/>
        <v>9</v>
      </c>
    </row>
    <row r="29" spans="1:5" x14ac:dyDescent="0.25">
      <c r="A29" t="s">
        <v>83</v>
      </c>
      <c r="B29">
        <f t="shared" si="0"/>
        <v>21</v>
      </c>
      <c r="D29" t="s">
        <v>122</v>
      </c>
      <c r="E29">
        <f t="shared" si="2"/>
        <v>10</v>
      </c>
    </row>
    <row r="30" spans="1:5" x14ac:dyDescent="0.25">
      <c r="A30" t="s">
        <v>108</v>
      </c>
      <c r="B30">
        <f t="shared" si="0"/>
        <v>16</v>
      </c>
      <c r="D30" t="s">
        <v>121</v>
      </c>
      <c r="E30">
        <f t="shared" si="2"/>
        <v>10</v>
      </c>
    </row>
    <row r="31" spans="1:5" x14ac:dyDescent="0.25">
      <c r="A31" t="s">
        <v>80</v>
      </c>
      <c r="B31">
        <f t="shared" si="0"/>
        <v>23</v>
      </c>
      <c r="D31" t="s">
        <v>123</v>
      </c>
      <c r="E31">
        <f t="shared" si="2"/>
        <v>4</v>
      </c>
    </row>
    <row r="32" spans="1:5" x14ac:dyDescent="0.25">
      <c r="A32" t="s">
        <v>77</v>
      </c>
      <c r="B32">
        <f t="shared" si="0"/>
        <v>16</v>
      </c>
      <c r="D32" t="s">
        <v>67</v>
      </c>
      <c r="E32">
        <f t="shared" si="2"/>
        <v>9</v>
      </c>
    </row>
    <row r="33" spans="1:5" x14ac:dyDescent="0.25">
      <c r="A33" t="s">
        <v>81</v>
      </c>
      <c r="B33">
        <f t="shared" si="0"/>
        <v>21</v>
      </c>
      <c r="D33" t="s">
        <v>69</v>
      </c>
      <c r="E33">
        <f t="shared" si="2"/>
        <v>10</v>
      </c>
    </row>
    <row r="34" spans="1:5" x14ac:dyDescent="0.25">
      <c r="A34" t="s">
        <v>106</v>
      </c>
      <c r="B34">
        <f t="shared" si="0"/>
        <v>19</v>
      </c>
      <c r="D34" t="s">
        <v>68</v>
      </c>
      <c r="E34">
        <f t="shared" si="2"/>
        <v>8</v>
      </c>
    </row>
    <row r="35" spans="1:5" x14ac:dyDescent="0.25">
      <c r="A35" t="s">
        <v>76</v>
      </c>
      <c r="B35">
        <f t="shared" si="0"/>
        <v>19</v>
      </c>
      <c r="D35" t="s">
        <v>70</v>
      </c>
      <c r="E35">
        <f t="shared" si="2"/>
        <v>8</v>
      </c>
    </row>
    <row r="36" spans="1:5" x14ac:dyDescent="0.25">
      <c r="A36" t="s">
        <v>78</v>
      </c>
      <c r="B36">
        <f t="shared" si="0"/>
        <v>20</v>
      </c>
      <c r="D36" t="s">
        <v>71</v>
      </c>
      <c r="E36">
        <f t="shared" si="2"/>
        <v>11</v>
      </c>
    </row>
    <row r="37" spans="1:5" x14ac:dyDescent="0.25">
      <c r="A37" t="s">
        <v>79</v>
      </c>
      <c r="D37" t="s">
        <v>72</v>
      </c>
      <c r="E37">
        <f t="shared" si="2"/>
        <v>11</v>
      </c>
    </row>
    <row r="38" spans="1:5" x14ac:dyDescent="0.25">
      <c r="A38" t="s">
        <v>110</v>
      </c>
      <c r="D38" t="s">
        <v>73</v>
      </c>
      <c r="E38">
        <f t="shared" si="2"/>
        <v>11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A4DEBE-36F8-4B0B-8999-FDDE8D6ABA2D}">
  <sheetPr codeName="Planilha7"/>
  <dimension ref="D1:E8"/>
  <sheetViews>
    <sheetView zoomScale="295" zoomScaleNormal="295" workbookViewId="0">
      <selection activeCell="C1" sqref="C1"/>
    </sheetView>
  </sheetViews>
  <sheetFormatPr defaultRowHeight="15" x14ac:dyDescent="0.25"/>
  <cols>
    <col min="4" max="4" width="17.5703125" customWidth="1"/>
  </cols>
  <sheetData>
    <row r="1" spans="4:5" x14ac:dyDescent="0.25">
      <c r="D1" s="4"/>
      <c r="E1" s="4"/>
    </row>
    <row r="2" spans="4:5" x14ac:dyDescent="0.25">
      <c r="D2" s="4"/>
    </row>
    <row r="3" spans="4:5" x14ac:dyDescent="0.25">
      <c r="D3" s="4"/>
    </row>
    <row r="4" spans="4:5" x14ac:dyDescent="0.25">
      <c r="D4" s="4"/>
    </row>
    <row r="5" spans="4:5" x14ac:dyDescent="0.25">
      <c r="D5" s="4"/>
    </row>
    <row r="6" spans="4:5" x14ac:dyDescent="0.25">
      <c r="D6" s="4"/>
    </row>
    <row r="7" spans="4:5" x14ac:dyDescent="0.25">
      <c r="D7" s="4"/>
    </row>
    <row r="8" spans="4:5" x14ac:dyDescent="0.25">
      <c r="D8" s="4"/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2EE8BD-BF45-4EF2-B0B2-65E510549963}">
  <sheetPr codeName="Planilha6"/>
  <dimension ref="A1"/>
  <sheetViews>
    <sheetView tabSelected="1" zoomScale="220" zoomScaleNormal="220" workbookViewId="0"/>
  </sheetViews>
  <sheetFormatPr defaultRowHeight="15" x14ac:dyDescent="0.25"/>
  <cols>
    <col min="14" max="14" width="34" bestFit="1" customWidth="1"/>
  </cols>
  <sheetData/>
  <sortState xmlns:xlrd2="http://schemas.microsoft.com/office/spreadsheetml/2017/richdata2" ref="E3:E260">
    <sortCondition ref="E260"/>
  </sortState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6147" r:id="rId3" name="ButtonStart">
          <controlPr defaultSize="0" autoLine="0" autoPict="0" r:id="rId4">
            <anchor moveWithCells="1">
              <from>
                <xdr:col>1</xdr:col>
                <xdr:colOff>514350</xdr:colOff>
                <xdr:row>1</xdr:row>
                <xdr:rowOff>171450</xdr:rowOff>
              </from>
              <to>
                <xdr:col>9</xdr:col>
                <xdr:colOff>552450</xdr:colOff>
                <xdr:row>11</xdr:row>
                <xdr:rowOff>47625</xdr:rowOff>
              </to>
            </anchor>
          </controlPr>
        </control>
      </mc:Choice>
      <mc:Fallback>
        <control shapeId="6147" r:id="rId3" name="ButtonStart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7</vt:i4>
      </vt:variant>
      <vt:variant>
        <vt:lpstr>Intervalos Nomeados</vt:lpstr>
      </vt:variant>
      <vt:variant>
        <vt:i4>1</vt:i4>
      </vt:variant>
    </vt:vector>
  </HeadingPairs>
  <TitlesOfParts>
    <vt:vector size="8" baseType="lpstr">
      <vt:lpstr>Planilha1</vt:lpstr>
      <vt:lpstr>Planilha3</vt:lpstr>
      <vt:lpstr>Planilha2</vt:lpstr>
      <vt:lpstr>Planilha4</vt:lpstr>
      <vt:lpstr>Planilha5</vt:lpstr>
      <vt:lpstr>Planilha7</vt:lpstr>
      <vt:lpstr>Planilha6</vt:lpstr>
      <vt:lpstr>Planilha1!message__1_1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Merces</dc:creator>
  <cp:lastModifiedBy>Tiago Merces</cp:lastModifiedBy>
  <dcterms:created xsi:type="dcterms:W3CDTF">2023-10-07T22:02:10Z</dcterms:created>
  <dcterms:modified xsi:type="dcterms:W3CDTF">2023-10-13T20:14:05Z</dcterms:modified>
</cp:coreProperties>
</file>